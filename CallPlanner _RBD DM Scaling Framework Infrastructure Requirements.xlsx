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pius-my.sharepoint.com/personal/jloganathan_trinitypartners_com/Documents/Work/J&amp;J/Scaling PP/"/>
    </mc:Choice>
  </mc:AlternateContent>
  <xr:revisionPtr revIDLastSave="0" documentId="8_{5C1B9A17-32F5-4C5A-BD5E-FBD466C242D4}" xr6:coauthVersionLast="47" xr6:coauthVersionMax="47" xr10:uidLastSave="{00000000-0000-0000-0000-000000000000}"/>
  <bookViews>
    <workbookView xWindow="-110" yWindow="-110" windowWidth="19420" windowHeight="11500" xr2:uid="{B2970189-B396-4D5D-A313-3B7C2364FCC7}"/>
  </bookViews>
  <sheets>
    <sheet name="CallPlanner + RBD-DM Overview" sheetId="1" r:id="rId1"/>
    <sheet name="Management App" sheetId="12" r:id="rId2"/>
    <sheet name="Postgres Database (RDS)" sheetId="2" r:id="rId3"/>
    <sheet name="Airflow" sheetId="8" r:id="rId4"/>
    <sheet name="OpenAI" sheetId="10" r:id="rId5"/>
    <sheet name="Sentry" sheetId="3" r:id="rId6"/>
    <sheet name="Redis Server (ElastiCache)" sheetId="5" r:id="rId7"/>
    <sheet name="S3" sheetId="9" r:id="rId8"/>
    <sheet name="Langfuse" sheetId="4" r:id="rId9"/>
    <sheet name="OpenSearch cluster" sheetId="6" r:id="rId10"/>
    <sheet name="Redshift Serverless" sheetId="11" r:id="rId11"/>
    <sheet name="Location Services" sheetId="7" r:id="rId12"/>
  </sheets>
  <definedNames>
    <definedName name="_xlnm._FilterDatabase" localSheetId="0" hidden="1">'CallPlanner + RBD-DM Overview'!$K$1:$K$38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1" l="1"/>
  <c r="E10" i="12"/>
  <c r="E2" i="12"/>
  <c r="E21" i="1"/>
  <c r="E19" i="1"/>
  <c r="E26" i="1"/>
  <c r="E24" i="1"/>
  <c r="E22" i="1"/>
  <c r="E20" i="1"/>
  <c r="E13" i="1"/>
  <c r="E14" i="1"/>
  <c r="E12" i="1"/>
  <c r="E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tc={134431C6-E35C-4F78-90DD-AA30FF396443}</author>
    <author>tc={E4103163-F1D5-40C7-9CB7-CA319619BD9E}</author>
  </authors>
  <commentList>
    <comment ref="E3" authorId="0" shapeId="0" xr:uid="{134431C6-E35C-4F78-90DD-AA30FF396443}">
      <text>
        <t>[Threaded comment]
Your version of Excel allows you to read this threaded comment; however, any edits to it will get removed if the file is opened in a newer version of Excel. Learn more: https://go.microsoft.com/fwlink/?linkid=870924
Comment:
    Required config? Deploy to same kube cluster?</t>
      </text>
    </comment>
    <comment ref="C9" authorId="1" shapeId="0" xr:uid="{E4103163-F1D5-40C7-9CB7-CA319619BD9E}">
      <text>
        <t>[Threaded comment]
Your version of Excel allows you to read this threaded comment; however, any edits to it will get removed if the file is opened in a newer version of Excel. Learn more: https://go.microsoft.com/fwlink/?linkid=870924
Comment:
    other IAM roles?</t>
      </text>
    </comment>
  </commentList>
</comments>
</file>

<file path=xl/sharedStrings.xml><?xml version="1.0" encoding="utf-8"?>
<sst xmlns="http://schemas.openxmlformats.org/spreadsheetml/2006/main" count="682" uniqueCount="463">
  <si>
    <t xml:space="preserve">Note: Phase 1 is required for initial deployment. Phase 2 for active development. Phase 3 for UAT / Production. No phase indicates we can reuse existing resource. </t>
  </si>
  <si>
    <t>ID</t>
  </si>
  <si>
    <t>Name</t>
  </si>
  <si>
    <t>Resource</t>
  </si>
  <si>
    <t>Description</t>
  </si>
  <si>
    <t>Configuration</t>
  </si>
  <si>
    <t>Environments (Note: UAT is a new environment)</t>
  </si>
  <si>
    <t>Network Access Outbound (To)</t>
  </si>
  <si>
    <t>Network Access Inbound (From)</t>
  </si>
  <si>
    <t>Existing Infrastructure</t>
  </si>
  <si>
    <t>Notes</t>
  </si>
  <si>
    <t>Phase</t>
  </si>
  <si>
    <t>Phase 1</t>
  </si>
  <si>
    <t>Postgres Database</t>
  </si>
  <si>
    <t>AWS RDS</t>
  </si>
  <si>
    <t>Postgres 16.3</t>
  </si>
  <si>
    <t>Prod
Dev</t>
  </si>
  <si>
    <t>Resource #4 (API)
Resource #20 (Chat API)</t>
  </si>
  <si>
    <t>Required changes in detail tab</t>
  </si>
  <si>
    <t>-</t>
  </si>
  <si>
    <t>EOW</t>
  </si>
  <si>
    <t>Kubernetes Cluster</t>
  </si>
  <si>
    <t>AWS EKS Cluster</t>
  </si>
  <si>
    <t>Kubernetes cluster to host applications</t>
  </si>
  <si>
    <t>k8s v1.33</t>
  </si>
  <si>
    <t>Prod
Dev
UAT</t>
  </si>
  <si>
    <t>Some clusters are in the process of upgrading to v1.33</t>
  </si>
  <si>
    <t>SCM Chat UI Repo</t>
  </si>
  <si>
    <t>BitBucket</t>
  </si>
  <si>
    <t>Source Code Management repo for CI/CD</t>
  </si>
  <si>
    <t>TBD</t>
  </si>
  <si>
    <t>Per Jeremy we can work on the deployment repos after the basic builds are working</t>
  </si>
  <si>
    <t>SCM Chat API Repo</t>
  </si>
  <si>
    <t>Scaling platform monorepo</t>
  </si>
  <si>
    <t>Source Code repo for application code</t>
  </si>
  <si>
    <t>genai-platform</t>
  </si>
  <si>
    <t>Chat UI</t>
  </si>
  <si>
    <t>AWS EKS/Chat UI</t>
  </si>
  <si>
    <t>Artifact created from deployment</t>
  </si>
  <si>
    <t>Instance t3a.medium (or equivalent)
Replica: 2
100GB</t>
  </si>
  <si>
    <t>Resource #4 (Rep API)
Resource #20 (Chat API)</t>
  </si>
  <si>
    <t>Browser (HTTPS)</t>
  </si>
  <si>
    <t>Included to highlight required networking configuration</t>
  </si>
  <si>
    <t>Rep Agent API</t>
  </si>
  <si>
    <t>AWS EKS/Rep Agent API</t>
  </si>
  <si>
    <t>Docker Image</t>
  </si>
  <si>
    <t>Resource #1 (DB)
Resource #8 (Redshift)
Resource #13 (S3)
Resource #5 (Cube Dev)
Resource #14 (OpenAI)</t>
  </si>
  <si>
    <t>Browser (HTTPS) 
Resource #2 (Kubernetes cluster)
Resource#20 (Chat API)</t>
  </si>
  <si>
    <t>Semantic Cube Dev Server</t>
  </si>
  <si>
    <t>AWS EC2</t>
  </si>
  <si>
    <t>Resource #4 (Rep API)</t>
  </si>
  <si>
    <t>Airflow ETL Server</t>
  </si>
  <si>
    <t>Resource to execute ETL process</t>
  </si>
  <si>
    <t>Resource #1 (DB) 
Resource #19 (Airflow S3)
Resource #18 (Elasticsearch server)
Resource #100 (PSE Data Lake)</t>
  </si>
  <si>
    <t>Need to investigate if we need updates here, particularly around user management</t>
  </si>
  <si>
    <t>Sentry Server</t>
  </si>
  <si>
    <t>EC2</t>
  </si>
  <si>
    <t>Browser (HTTPS)
Resource #20 (Chat API)</t>
  </si>
  <si>
    <t>Requires integration into Rep Agent API 
Requires prod resource</t>
  </si>
  <si>
    <t>Langfuse Server</t>
  </si>
  <si>
    <t>AWS EKS/Langfuse</t>
  </si>
  <si>
    <t>Helm Chart</t>
  </si>
  <si>
    <t>Resource #20 (Chat API)</t>
  </si>
  <si>
    <t>Requires configuring new applications in Langfuse</t>
  </si>
  <si>
    <t>Redshift Server</t>
  </si>
  <si>
    <t>AWS Redhift Serverless</t>
  </si>
  <si>
    <t xml:space="preserve">WorkGroup Version 1.0.80583 </t>
  </si>
  <si>
    <t>Resource #20 (Chat API)
Resource #5 (Cube Dev)</t>
  </si>
  <si>
    <t>Chat API DNS w/ HTTPS</t>
  </si>
  <si>
    <t>Cloudflare + CNAME mapping</t>
  </si>
  <si>
    <t>Cloudflare, Domain name for Chat API</t>
  </si>
  <si>
    <t>api.genai-platform-&lt;dev|uat|prod&gt;.apps.jnj.com</t>
  </si>
  <si>
    <t>for prod remove -prod (api.genai-platform.apps.jnj.com)</t>
  </si>
  <si>
    <t>We want to keep these distinct until we are fully ready to migrate the platform</t>
  </si>
  <si>
    <t>Langfuse DNS w/ HTTPS</t>
  </si>
  <si>
    <t>Domains/Langfuse</t>
  </si>
  <si>
    <t>Cloudflare, Domain name for Langfuse UI/API</t>
  </si>
  <si>
    <t>Semantic Cube Dev DNS w/HTTPS</t>
  </si>
  <si>
    <t>Domains/Cube Dev</t>
  </si>
  <si>
    <t>Cloudflare, Domain name for Cube Dev UI/API</t>
  </si>
  <si>
    <t>Sentry DNS w/ HTTPS</t>
  </si>
  <si>
    <t>Domains/Sentry</t>
  </si>
  <si>
    <t>Cloudflare, Domain name for Sentry UI/API</t>
  </si>
  <si>
    <t>Need to configure prod</t>
  </si>
  <si>
    <t>CallPlanner S3</t>
  </si>
  <si>
    <t>S3 Bucket</t>
  </si>
  <si>
    <t>S3 bucket for Callplanner resources</t>
  </si>
  <si>
    <t>OpenAI Deployment</t>
  </si>
  <si>
    <t>Azure OpenAI</t>
  </si>
  <si>
    <t>Resource to create OpenAI endpoints in</t>
  </si>
  <si>
    <t>Can reuse existing OpenAI  deployments</t>
  </si>
  <si>
    <t>CDN S3</t>
  </si>
  <si>
    <t>S3 bucket for CDN resources</t>
  </si>
  <si>
    <t>Redis Server</t>
  </si>
  <si>
    <t>AWS ElastiCache</t>
  </si>
  <si>
    <t>Valkey v7.2</t>
  </si>
  <si>
    <t>OpenSearch Cluster</t>
  </si>
  <si>
    <t>AWS OpenSearch</t>
  </si>
  <si>
    <t>Elasticsearch 7.10</t>
  </si>
  <si>
    <t>Currently we are leveraging the MSL resource, but a separate one is recommended</t>
  </si>
  <si>
    <t>Airflow S3</t>
  </si>
  <si>
    <t>S3 Bucket for MWAA</t>
  </si>
  <si>
    <t>CICD
Resource #6 (Airflow ETL)</t>
  </si>
  <si>
    <t>Chat API</t>
  </si>
  <si>
    <t>AWS EKS/Chat API</t>
  </si>
  <si>
    <t>Instance: t3a.xlarge (or equivalent)
Replica: 2
100GB</t>
  </si>
  <si>
    <t>Resource #1 (DB) 
Resource #7/13 (Sentry/Sentry DNS)
Resource #8/14 (Langfuse/Langfuse DNS)
Resource #18 (Redis) 
Resource #19 (Elasticsearch)</t>
  </si>
  <si>
    <t>Browser (HTTPS)
Resource #6 (Airflow ETL)</t>
  </si>
  <si>
    <t>Azure App Registration - Chat API Maps</t>
  </si>
  <si>
    <t>Client registration to use maps services</t>
  </si>
  <si>
    <t>Azure client app registration to use location services</t>
  </si>
  <si>
    <t>Could reuse existing client configs</t>
  </si>
  <si>
    <t>Azure App Registration - Chat API Voice</t>
  </si>
  <si>
    <t>Client registration to use voice services</t>
  </si>
  <si>
    <t>Azure client app registration to use voice services</t>
  </si>
  <si>
    <t>Azure App Registration - Chat UI / Chat API OAuth</t>
  </si>
  <si>
    <t>Client registration to handle user OAuth</t>
  </si>
  <si>
    <t>Azure client app registration for SSO / OAuth</t>
  </si>
  <si>
    <t>JAN-APP-RBDDM-&lt;DEV|UAT|PRD&gt;-&lt;ADMIN|USER|FIELD-USER&gt;</t>
  </si>
  <si>
    <t>Each environment should have ADMIN, USER and FIELD-USER</t>
  </si>
  <si>
    <t>Domain name for internal network access</t>
  </si>
  <si>
    <t>app.genai-platform-&lt;dev|uat|prod&gt;.apps.jnj.com</t>
  </si>
  <si>
    <t>for prod remove -prod (app.genai-platform.apps.jnj.com)</t>
  </si>
  <si>
    <t>CICD</t>
  </si>
  <si>
    <t>Jenkins</t>
  </si>
  <si>
    <t>We can probably reuse the existing Jenkings instance</t>
  </si>
  <si>
    <t>Entra AD Groups</t>
  </si>
  <si>
    <t>Entra AD</t>
  </si>
  <si>
    <t>Access Directory resource group</t>
  </si>
  <si>
    <t>API Gateway</t>
  </si>
  <si>
    <t>JnJ PSE Data Lake</t>
  </si>
  <si>
    <t>RedShift Cluster</t>
  </si>
  <si>
    <t>Resource #6 (Airflow ETL)</t>
  </si>
  <si>
    <t>Docker Repository</t>
  </si>
  <si>
    <t>JFrog</t>
  </si>
  <si>
    <t>Repository to publish Docker Images</t>
  </si>
  <si>
    <t>Environments</t>
  </si>
  <si>
    <t>Platform Database</t>
  </si>
  <si>
    <t>Prod
UAT
Dev</t>
  </si>
  <si>
    <t>Resource #4 (API)</t>
  </si>
  <si>
    <t xml:space="preserve">Separate from scaling platform DB </t>
  </si>
  <si>
    <t>Add Configuration Details</t>
  </si>
  <si>
    <t>Optional: can keep management app and other apps in the same cluster</t>
  </si>
  <si>
    <t>Management UI</t>
  </si>
  <si>
    <t>Resource #21 (Management API)</t>
  </si>
  <si>
    <t>Management API</t>
  </si>
  <si>
    <t xml:space="preserve">Resource #1 (DB) 
Resource #7/13 (Sentry/Sentry DNS)
Resource #18 (Redis) </t>
  </si>
  <si>
    <t xml:space="preserve">Secrets Manager </t>
  </si>
  <si>
    <t>AWS Secret Manager</t>
  </si>
  <si>
    <t>IAM Roles</t>
  </si>
  <si>
    <t>AWS IAM roles for secrets manager</t>
  </si>
  <si>
    <t>Can reuse if sharing cluster</t>
  </si>
  <si>
    <t>Management API DNS w/ HTTPS</t>
  </si>
  <si>
    <t>Domains/Chat API</t>
  </si>
  <si>
    <t>Domain name for Chat API</t>
  </si>
  <si>
    <t>app.genai-admin-&lt;dev|uat|prod&gt;.apps.jnj.com</t>
  </si>
  <si>
    <t>Management UI DNS w/ HTTPS</t>
  </si>
  <si>
    <t>api.genai-admin-&lt;dev|uat|prod&gt;.apps.jnj.com</t>
  </si>
  <si>
    <t>Entra AD Group</t>
  </si>
  <si>
    <t>Entra</t>
  </si>
  <si>
    <t>Azure App Registration - Management UI / API OAuth</t>
  </si>
  <si>
    <t>JAN-APP-MGMT-&lt;DEV|UAT|PRD&gt;-ADMIN</t>
  </si>
  <si>
    <t>Sentry</t>
  </si>
  <si>
    <t>Jenkins + Jfrog</t>
  </si>
  <si>
    <t xml:space="preserve">Note: required changes include new schemas and capacity. </t>
  </si>
  <si>
    <t xml:space="preserve"> Value</t>
  </si>
  <si>
    <t>Section</t>
  </si>
  <si>
    <t>Note</t>
  </si>
  <si>
    <t>Engine</t>
  </si>
  <si>
    <t>PostgreSQL</t>
  </si>
  <si>
    <t>Engine options</t>
  </si>
  <si>
    <t>Engine Version</t>
  </si>
  <si>
    <t>Postgres 16.4 or equivalent</t>
  </si>
  <si>
    <t>Multi-AZ</t>
  </si>
  <si>
    <t>Availability and durability</t>
  </si>
  <si>
    <t>Multi-AZ only needed for production (2)</t>
  </si>
  <si>
    <t>DB cluster identifier</t>
  </si>
  <si>
    <t>genai-platform-[prod|uat|dev]</t>
  </si>
  <si>
    <t>Settings</t>
  </si>
  <si>
    <t>Master username</t>
  </si>
  <si>
    <t>master</t>
  </si>
  <si>
    <t>Credential management</t>
  </si>
  <si>
    <t>AWS Secrets Manager*</t>
  </si>
  <si>
    <t>Credential Settings</t>
  </si>
  <si>
    <t>Whatever is easiest to integrate with k8s secrets</t>
  </si>
  <si>
    <t>DB Instance class</t>
  </si>
  <si>
    <t>Standard classes - db.t4g.medium</t>
  </si>
  <si>
    <t>Instance configuration</t>
  </si>
  <si>
    <t>db.m7g.large or db.m7g.xlarge may be needed depending on data ETL</t>
  </si>
  <si>
    <t>Storage type</t>
  </si>
  <si>
    <t>GP3</t>
  </si>
  <si>
    <t>Storage</t>
  </si>
  <si>
    <t>Allocated Storage</t>
  </si>
  <si>
    <t>400GB for prod</t>
  </si>
  <si>
    <t>Provisioned IOPS</t>
  </si>
  <si>
    <t>12000 for prod</t>
  </si>
  <si>
    <t>Storage througput</t>
  </si>
  <si>
    <t>500 for prod</t>
  </si>
  <si>
    <t>Group Name</t>
  </si>
  <si>
    <t>genai-platform-[prod]-pg16</t>
  </si>
  <si>
    <t>Create Parameter Group</t>
  </si>
  <si>
    <t>Group Description</t>
  </si>
  <si>
    <t>Engine Type</t>
  </si>
  <si>
    <t>Parameter group family</t>
  </si>
  <si>
    <t>postgres16</t>
  </si>
  <si>
    <t>Enable auto minor version upgrade</t>
  </si>
  <si>
    <t>No</t>
  </si>
  <si>
    <t>shared_preload_libraries</t>
  </si>
  <si>
    <t>pg_stat_statements,pg_tle,auto_explain,pg_cron,pglogical</t>
  </si>
  <si>
    <t>Parameter</t>
  </si>
  <si>
    <t>DATABASES</t>
  </si>
  <si>
    <t>callplanner</t>
  </si>
  <si>
    <t>Primary database for platform</t>
  </si>
  <si>
    <t>Currently scoped to env (e.g. callplanner_). We can make this consistent across environments but in the meantime need to create a new DB that can be deleted later</t>
  </si>
  <si>
    <t>langfuse</t>
  </si>
  <si>
    <t>Used for langfuse, can create separate user/pass for langfuse to use</t>
  </si>
  <si>
    <t>callplanner_&lt;env|prod&gt;</t>
  </si>
  <si>
    <t>SCHEMA NAMES</t>
  </si>
  <si>
    <t>public</t>
  </si>
  <si>
    <t>auth</t>
  </si>
  <si>
    <t>brandinsights</t>
  </si>
  <si>
    <t>jnj</t>
  </si>
  <si>
    <t>ref</t>
  </si>
  <si>
    <t>workspace</t>
  </si>
  <si>
    <t>genai</t>
  </si>
  <si>
    <t>EXTENSIONS</t>
  </si>
  <si>
    <t>pg_trgm</t>
  </si>
  <si>
    <t>uuid-ossp</t>
  </si>
  <si>
    <t>pgcrypto</t>
  </si>
  <si>
    <t>pgvevctor</t>
  </si>
  <si>
    <t>plpgsql</t>
  </si>
  <si>
    <t>genai-platform-[prod|dev]-mwaa</t>
  </si>
  <si>
    <t>Details</t>
  </si>
  <si>
    <t>Dags Folder</t>
  </si>
  <si>
    <t>DAG Code in S3</t>
  </si>
  <si>
    <t>Requirements file</t>
  </si>
  <si>
    <t>requirements.txt</t>
  </si>
  <si>
    <t>Class</t>
  </si>
  <si>
    <t>mw1.medium</t>
  </si>
  <si>
    <t>Environment Class</t>
  </si>
  <si>
    <t>Minimum Worker Count</t>
  </si>
  <si>
    <t>Maximum Worker Count</t>
  </si>
  <si>
    <t>Scheduler Count</t>
  </si>
  <si>
    <t>Minimum Webserver Count</t>
  </si>
  <si>
    <t>Maximum Webserver Count</t>
  </si>
  <si>
    <t>Airflow task Logs</t>
  </si>
  <si>
    <t>Enabled</t>
  </si>
  <si>
    <t>Monitoring</t>
  </si>
  <si>
    <t>Airflow web server logs</t>
  </si>
  <si>
    <t>Airflow scheduler logs</t>
  </si>
  <si>
    <t>Airflow worker logs</t>
  </si>
  <si>
    <t>Airflow DAG processing logs</t>
  </si>
  <si>
    <t>Airflow task log level</t>
  </si>
  <si>
    <t>INFO</t>
  </si>
  <si>
    <t>Airflow web server log level</t>
  </si>
  <si>
    <t>Airflow scheduler log level</t>
  </si>
  <si>
    <t>Airflow worker log level</t>
  </si>
  <si>
    <t>Airflow DAG processing log level</t>
  </si>
  <si>
    <t>core.dags_are_paused_at_creation</t>
  </si>
  <si>
    <t>False</t>
  </si>
  <si>
    <t>Airflow Configuration Options</t>
  </si>
  <si>
    <t>core.test_connection</t>
  </si>
  <si>
    <t>True</t>
  </si>
  <si>
    <t>secrets.backend</t>
  </si>
  <si>
    <t>airflow.providers.amazon.aws.secrets.secrets_manager.SecretsManagerBackend</t>
  </si>
  <si>
    <t>secrets.backend_kwargs</t>
  </si>
  <si>
    <t>{connections_prefix=airflow/connections, variables_prefix=airflow/variables}</t>
  </si>
  <si>
    <t>Secrets (In Secrets Manager)</t>
  </si>
  <si>
    <t>airflow/connections/msl_db</t>
  </si>
  <si>
    <t>postgresql://postgres:[PASSWORD]@[HOST]:5432/postgres</t>
  </si>
  <si>
    <t>airflow/connections/es_conn</t>
  </si>
  <si>
    <t>elasticsearch://[USER]:[PASSWORD]@[HOST]:[PORT]/https</t>
  </si>
  <si>
    <t>OpenAI App</t>
  </si>
  <si>
    <t>Setting</t>
  </si>
  <si>
    <t>Value</t>
  </si>
  <si>
    <t>openai-genai-platform-[prod|dev]</t>
  </si>
  <si>
    <t>Location</t>
  </si>
  <si>
    <t>East US</t>
  </si>
  <si>
    <t>Deployments</t>
  </si>
  <si>
    <t>gpt-4o-mini</t>
  </si>
  <si>
    <t>Model</t>
  </si>
  <si>
    <t>Model Version</t>
  </si>
  <si>
    <t>2024-07-18</t>
  </si>
  <si>
    <t>Capacity</t>
  </si>
  <si>
    <t>100k TPM</t>
  </si>
  <si>
    <t>NOTE</t>
  </si>
  <si>
    <t>Jeremy recently set this up for Rep and the process may differ.</t>
  </si>
  <si>
    <t>DOCUMENTATION</t>
  </si>
  <si>
    <t>https://develop.sentry.dev/self-hosted/</t>
  </si>
  <si>
    <t>SENTRY GITHUB</t>
  </si>
  <si>
    <t>https://github.com/getsentry/self-hosted/releases/tag/24.11.2</t>
  </si>
  <si>
    <t>Requires valid SSL certificate, nginx reverse proxy or have AWS ELB</t>
  </si>
  <si>
    <t>User Authentication can be configured with SAML SSO or User/Pass</t>
  </si>
  <si>
    <t>EC2 Specs</t>
  </si>
  <si>
    <t>Instance Name</t>
  </si>
  <si>
    <t>genai-platform-[prod|dev]</t>
  </si>
  <si>
    <t>Instance Type</t>
  </si>
  <si>
    <t>t3a.xlarge</t>
  </si>
  <si>
    <t>300GB EBS</t>
  </si>
  <si>
    <t>AMI</t>
  </si>
  <si>
    <t>Linux, Latest Debian/Ubuntu</t>
  </si>
  <si>
    <t>UPDATE LIMITS</t>
  </si>
  <si>
    <r>
      <t>echo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"</t>
    </r>
  </si>
  <si>
    <t>* soft nofile 131072</t>
  </si>
  <si>
    <t>* hard nofile 131072</t>
  </si>
  <si>
    <t>* soft nproc 8192</t>
  </si>
  <si>
    <t>* hard nproc 8192</t>
  </si>
  <si>
    <t>root soft nofile 131072</t>
  </si>
  <si>
    <t>root hard nofile 131072</t>
  </si>
  <si>
    <t>root soft nproc 8192</t>
  </si>
  <si>
    <r>
      <t>root hard nproc 8192"</t>
    </r>
    <r>
      <rPr>
        <sz val="9"/>
        <color rgb="FFCCCCCC"/>
        <rFont val="Menlo"/>
        <charset val="1"/>
      </rPr>
      <t xml:space="preserve"> </t>
    </r>
    <r>
      <rPr>
        <sz val="9"/>
        <color rgb="FFD4D4D4"/>
        <rFont val="Menlo"/>
        <charset val="1"/>
      </rPr>
      <t>|</t>
    </r>
    <r>
      <rPr>
        <sz val="9"/>
        <color rgb="FFCCCCCC"/>
        <rFont val="Menlo"/>
        <charset val="1"/>
      </rPr>
      <t xml:space="preserve"> </t>
    </r>
    <r>
      <rPr>
        <sz val="9"/>
        <color rgb="FFDCDCAA"/>
        <rFont val="Menlo"/>
        <charset val="1"/>
      </rPr>
      <t>sudo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tee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/etc/security/limits.d/nofile.conf</t>
    </r>
  </si>
  <si>
    <r>
      <t>echo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"vm.max_map_count=524288"</t>
    </r>
    <r>
      <rPr>
        <sz val="9"/>
        <color rgb="FFCCCCCC"/>
        <rFont val="Menlo"/>
        <charset val="1"/>
      </rPr>
      <t xml:space="preserve"> </t>
    </r>
    <r>
      <rPr>
        <sz val="9"/>
        <color rgb="FFD4D4D4"/>
        <rFont val="Menlo"/>
        <charset val="1"/>
      </rPr>
      <t>|</t>
    </r>
    <r>
      <rPr>
        <sz val="9"/>
        <color rgb="FFCCCCCC"/>
        <rFont val="Menlo"/>
        <charset val="1"/>
      </rPr>
      <t xml:space="preserve"> </t>
    </r>
    <r>
      <rPr>
        <sz val="9"/>
        <color rgb="FFDCDCAA"/>
        <rFont val="Menlo"/>
        <charset val="1"/>
      </rPr>
      <t>sudo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tee</t>
    </r>
    <r>
      <rPr>
        <sz val="9"/>
        <color rgb="FFCCCCCC"/>
        <rFont val="Menlo"/>
        <charset val="1"/>
      </rPr>
      <t xml:space="preserve"> </t>
    </r>
    <r>
      <rPr>
        <sz val="9"/>
        <color rgb="FF569CD6"/>
        <rFont val="Menlo"/>
        <charset val="1"/>
      </rPr>
      <t>-a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/etc/sysctl.conf</t>
    </r>
  </si>
  <si>
    <r>
      <t>echo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"fs.file-max=131072"</t>
    </r>
    <r>
      <rPr>
        <sz val="9"/>
        <color rgb="FFCCCCCC"/>
        <rFont val="Menlo"/>
        <charset val="1"/>
      </rPr>
      <t xml:space="preserve"> </t>
    </r>
    <r>
      <rPr>
        <sz val="9"/>
        <color rgb="FFD4D4D4"/>
        <rFont val="Menlo"/>
        <charset val="1"/>
      </rPr>
      <t>|</t>
    </r>
    <r>
      <rPr>
        <sz val="9"/>
        <color rgb="FFCCCCCC"/>
        <rFont val="Menlo"/>
        <charset val="1"/>
      </rPr>
      <t xml:space="preserve"> </t>
    </r>
    <r>
      <rPr>
        <sz val="9"/>
        <color rgb="FFDCDCAA"/>
        <rFont val="Menlo"/>
        <charset val="1"/>
      </rPr>
      <t>sudo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tee</t>
    </r>
    <r>
      <rPr>
        <sz val="9"/>
        <color rgb="FFCCCCCC"/>
        <rFont val="Menlo"/>
        <charset val="1"/>
      </rPr>
      <t xml:space="preserve"> </t>
    </r>
    <r>
      <rPr>
        <sz val="9"/>
        <color rgb="FF569CD6"/>
        <rFont val="Menlo"/>
        <charset val="1"/>
      </rPr>
      <t>-a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/etc/sysctl.conf</t>
    </r>
  </si>
  <si>
    <r>
      <t>sudo</t>
    </r>
    <r>
      <rPr>
        <sz val="9"/>
        <color rgb="FFCCCCCC"/>
        <rFont val="Menlo"/>
        <charset val="1"/>
      </rPr>
      <t xml:space="preserve"> </t>
    </r>
    <r>
      <rPr>
        <sz val="9"/>
        <color rgb="FFCE9178"/>
        <rFont val="Menlo"/>
        <charset val="1"/>
      </rPr>
      <t>sysctl</t>
    </r>
    <r>
      <rPr>
        <sz val="9"/>
        <color rgb="FFCCCCCC"/>
        <rFont val="Menlo"/>
        <charset val="1"/>
      </rPr>
      <t xml:space="preserve"> </t>
    </r>
    <r>
      <rPr>
        <sz val="9"/>
        <color rgb="FF569CD6"/>
        <rFont val="Menlo"/>
        <charset val="1"/>
      </rPr>
      <t>-p</t>
    </r>
  </si>
  <si>
    <t>INSTALLATION</t>
  </si>
  <si>
    <t>VERSION="24.11.2"</t>
  </si>
  <si>
    <t>git clone https://github.com/getsentry/self-hosted.git</t>
  </si>
  <si>
    <t>cd self-hosted</t>
  </si>
  <si>
    <t>git checkout ${VERSION}</t>
  </si>
  <si>
    <t>sudo ./install.sh --skip-user-creation</t>
  </si>
  <si>
    <t>sentry/config.yml</t>
  </si>
  <si>
    <t>system.url-prefix: "https://sentry.domain.com"</t>
  </si>
  <si>
    <t>sentry/sentry.conf.py</t>
  </si>
  <si>
    <t>CSRF_TRUSTED_ORIGINS = ["https://sentry.domain.com", "http://127.0.0.1:9000"]</t>
  </si>
  <si>
    <t>SECURE_PROXY_SSL_HEADER = ('HTTP_X_FORWARDED_PROTO', 'https')</t>
  </si>
  <si>
    <t>USE_X_FORWARDED_HOST = True</t>
  </si>
  <si>
    <t>SESSION_COOKIE_SECURE = True</t>
  </si>
  <si>
    <t>CSRF_COOKIE_SECURE = True</t>
  </si>
  <si>
    <t>SOCIAL_AUTH_REDIRECT_IS_HTTPS = True</t>
  </si>
  <si>
    <t>ElastiCache Valkey</t>
  </si>
  <si>
    <t>Deployment option</t>
  </si>
  <si>
    <t>Design your own cache</t>
  </si>
  <si>
    <t>Creation method</t>
  </si>
  <si>
    <t>Cluster cache</t>
  </si>
  <si>
    <t>Cluster mode</t>
  </si>
  <si>
    <t>Disabled</t>
  </si>
  <si>
    <t>Cluster Info</t>
  </si>
  <si>
    <t>Cluster name</t>
  </si>
  <si>
    <t>msl-copilot-[production|sandbox]</t>
  </si>
  <si>
    <t>AWS Cloud</t>
  </si>
  <si>
    <t>Multi-AZ not needed for sandbox</t>
  </si>
  <si>
    <t>Cluster settings</t>
  </si>
  <si>
    <t>Node type</t>
  </si>
  <si>
    <t>cache.t4g.medium</t>
  </si>
  <si>
    <t>Number of replicas</t>
  </si>
  <si>
    <t>Access control</t>
  </si>
  <si>
    <t>AUTH default user access</t>
  </si>
  <si>
    <t>Security</t>
  </si>
  <si>
    <t>AUTH token</t>
  </si>
  <si>
    <t>Generate randomly</t>
  </si>
  <si>
    <t>com.jnj.genai-platform.[prod|dev|uat].cdn</t>
  </si>
  <si>
    <t>CDN Bucket</t>
  </si>
  <si>
    <t>com.jnj.genai-platform.[prod|dev|uat].airflow</t>
  </si>
  <si>
    <t>Airflow Bucket</t>
  </si>
  <si>
    <t>No public access</t>
  </si>
  <si>
    <t>CORS policy</t>
  </si>
  <si>
    <t>Configuration to allow applications HTTPS access</t>
  </si>
  <si>
    <t>Access to Chat UI and  API, Management UI and API across each environment</t>
  </si>
  <si>
    <t>Documentation</t>
  </si>
  <si>
    <t>https://langfuse.com/self-hosting/kubernetes-helm</t>
  </si>
  <si>
    <t>Sizing</t>
  </si>
  <si>
    <t>t3a.medium equivalent</t>
  </si>
  <si>
    <t>Environment Variables</t>
  </si>
  <si>
    <t>PORT</t>
  </si>
  <si>
    <t>AUTH_AZURE_AD_CLIENT_ID</t>
  </si>
  <si>
    <t>AUTH_AZURE_AD_CLIENT_SECRET</t>
  </si>
  <si>
    <t>AUTH_AZURE_AD_TENANT_ID</t>
  </si>
  <si>
    <t>DATABASE_URL</t>
  </si>
  <si>
    <t>postgres://[USER]:[PASSWORD]@[HOST]:5432/langfuse</t>
  </si>
  <si>
    <t>NEXTAUTH_URL</t>
  </si>
  <si>
    <t>DNS the site will run on</t>
  </si>
  <si>
    <t>NEXTAUTH_SECRET</t>
  </si>
  <si>
    <t>Generate randomly - openssl rand -base64 32</t>
  </si>
  <si>
    <t>SALT</t>
  </si>
  <si>
    <t>Generate randomly - openssl rand -hex 32</t>
  </si>
  <si>
    <t>ENCRYPTION_KEY</t>
  </si>
  <si>
    <t>AUTH_DISABLE_USERNAME_PASSWORD</t>
  </si>
  <si>
    <t>true</t>
  </si>
  <si>
    <t>AUTH_DISABLE_SIGNUP</t>
  </si>
  <si>
    <t>false</t>
  </si>
  <si>
    <t>Note: Azure app is used for authentication. Can re-use the same one being used for the copilot. Access to projects/data needs to be provisioned in langfuse iteself.</t>
  </si>
  <si>
    <t>OpenSearch</t>
  </si>
  <si>
    <t>Domain name</t>
  </si>
  <si>
    <t>genai-platform-[dev|uat|prod]</t>
  </si>
  <si>
    <t>Domain creation method</t>
  </si>
  <si>
    <t>Standard create</t>
  </si>
  <si>
    <t>Templates</t>
  </si>
  <si>
    <t>Dev/test</t>
  </si>
  <si>
    <t>Demployment option</t>
  </si>
  <si>
    <t>Domain without standby</t>
  </si>
  <si>
    <t>Deployment options</t>
  </si>
  <si>
    <t>AZ</t>
  </si>
  <si>
    <t>2 for prod</t>
  </si>
  <si>
    <t>OpenSearch version</t>
  </si>
  <si>
    <t>Instance Family</t>
  </si>
  <si>
    <t>General purpose</t>
  </si>
  <si>
    <t>Number of data nodes</t>
  </si>
  <si>
    <t>Instance type</t>
  </si>
  <si>
    <t>m7g.large.search</t>
  </si>
  <si>
    <t>Data nodes</t>
  </si>
  <si>
    <t>EBS - GP3</t>
  </si>
  <si>
    <t>Storage size per node</t>
  </si>
  <si>
    <t>250GB</t>
  </si>
  <si>
    <t>Total throughput per node</t>
  </si>
  <si>
    <t>250MiB/s</t>
  </si>
  <si>
    <t>Network</t>
  </si>
  <si>
    <t>VPC Access</t>
  </si>
  <si>
    <t> </t>
  </si>
  <si>
    <t>IP address type</t>
  </si>
  <si>
    <t>IPv4 only</t>
  </si>
  <si>
    <t>Enable fine-grained access control</t>
  </si>
  <si>
    <t>Yes</t>
  </si>
  <si>
    <t>Fine-grained access control</t>
  </si>
  <si>
    <t>Create master user</t>
  </si>
  <si>
    <t>genai-copilot</t>
  </si>
  <si>
    <t>Master password</t>
  </si>
  <si>
    <t>[GENERATE]</t>
  </si>
  <si>
    <t>Confirm master password</t>
  </si>
  <si>
    <t>Domain access policy</t>
  </si>
  <si>
    <t>Only use fine-grained access control</t>
  </si>
  <si>
    <t>Access Policy</t>
  </si>
  <si>
    <t>Redshift Serverless</t>
  </si>
  <si>
    <t>Cluster Name</t>
  </si>
  <si>
    <t>genai-platform-[prod]</t>
  </si>
  <si>
    <t>Cluster Mode</t>
  </si>
  <si>
    <t>serverless</t>
  </si>
  <si>
    <t>WorkGroup Name</t>
  </si>
  <si>
    <t>genai-platform-[prod]-wg</t>
  </si>
  <si>
    <t>Workgroup Info</t>
  </si>
  <si>
    <t>WorkGroup Version</t>
  </si>
  <si>
    <t>1.0.80583</t>
  </si>
  <si>
    <t>Base Capacity</t>
  </si>
  <si>
    <t>128 RPUs</t>
  </si>
  <si>
    <t>WorkGroup Patch Version</t>
  </si>
  <si>
    <t>Patch 186</t>
  </si>
  <si>
    <t>Azure Maps Account</t>
  </si>
  <si>
    <t>msl-copilot-[prod|dev]-maps-resource</t>
  </si>
  <si>
    <t>?? Might need to create one</t>
  </si>
  <si>
    <t>Subscription</t>
  </si>
  <si>
    <t>Identity</t>
  </si>
  <si>
    <t>msl-copilot-[prod|dev]-maps-identity</t>
  </si>
  <si>
    <t>Note: can reuse existing configs as well</t>
  </si>
  <si>
    <t>Azure Managed Identity</t>
  </si>
  <si>
    <t>genai-platform-[prod|dev]-maps-identity</t>
  </si>
  <si>
    <t>Azure Role Assignments</t>
  </si>
  <si>
    <t>Role</t>
  </si>
  <si>
    <t>Azure Maps Search and Render Data Reader</t>
  </si>
  <si>
    <t>enai-platform-[prod|dev]-maps-resource</t>
  </si>
  <si>
    <t>Resource Type</t>
  </si>
  <si>
    <t>Assigned To</t>
  </si>
  <si>
    <t>* Use existing App registration</t>
  </si>
  <si>
    <t>App Registration</t>
  </si>
  <si>
    <t>GenAI Platform - PROD</t>
  </si>
  <si>
    <t>** Add the App Registration as an owner of the Azure Maps Account in the Microsoft Graph. **</t>
  </si>
  <si>
    <t>Need the following details after creation:</t>
  </si>
  <si>
    <t>Maps Account name</t>
  </si>
  <si>
    <t>Maps Account Subscription ID</t>
  </si>
  <si>
    <t>Maps Account Subscript Key</t>
  </si>
  <si>
    <t>App Registration Client ID</t>
  </si>
  <si>
    <t>App Registration Client Secret</t>
  </si>
  <si>
    <t>Principal ID for the Identity created</t>
  </si>
  <si>
    <t>Tenant ID where the resources are hosted</t>
  </si>
  <si>
    <t>Resource Group name where the resources are hosted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</si>
</sst>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2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  <scheme val="minor"/>
    </font>
    <font>
      <sz val="11"/>
      <color rgb="FF000000"/>
      <name val="Calibri"/>
      <family val="2"/>
    </font>
    <font>
      <sz val="9"/>
      <color rgb="FFDCDCAA"/>
      <name val="Menlo"/>
      <charset val="1"/>
    </font>
    <font>
      <sz val="9"/>
      <color rgb="FFCCCCCC"/>
      <name val="Menlo"/>
      <charset val="1"/>
    </font>
    <font>
      <sz val="9"/>
      <color rgb="FFCE9178"/>
      <name val="Menlo"/>
      <charset val="1"/>
    </font>
    <font>
      <sz val="9"/>
      <color rgb="FFD4D4D4"/>
      <name val="Menlo"/>
      <charset val="1"/>
    </font>
    <font>
      <sz val="9"/>
      <color rgb="FF569CD6"/>
      <name val="Menlo"/>
      <charset val="1"/>
    </font>
    <font>
      <sz val="10"/>
      <color theme="1"/>
      <name val="Courier New"/>
      <charset val="1"/>
    </font>
    <font>
      <b/>
      <sz val="11"/>
      <color rgb="FF000000"/>
      <name val="Aptos Narrow"/>
      <charset val="1"/>
    </font>
    <font>
      <b/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292A2E"/>
      <name val="Aptos Narrow"/>
      <scheme val="minor"/>
    </font>
    <font>
      <b/>
      <sz val="11"/>
      <name val="Aptos Narrow"/>
      <family val="2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DDDEE1"/>
      </left>
      <right/>
      <top style="thin">
        <color rgb="FFDDDEE1"/>
      </top>
      <bottom/>
      <diagonal/>
    </border>
    <border>
      <left style="thin">
        <color rgb="FFDDDEE1"/>
      </left>
      <right style="thin">
        <color rgb="FFDDDEE1"/>
      </right>
      <top style="thin">
        <color rgb="FFDDDEE1"/>
      </top>
      <bottom/>
      <diagonal/>
    </border>
    <border>
      <left style="thin">
        <color rgb="FFDDDEE1"/>
      </left>
      <right/>
      <top style="thin">
        <color rgb="FFDDDEE1"/>
      </top>
      <bottom style="thin">
        <color rgb="FFDDDEE1"/>
      </bottom>
      <diagonal/>
    </border>
    <border>
      <left/>
      <right style="thin">
        <color rgb="FFDDDEE1"/>
      </right>
      <top/>
      <bottom style="thin">
        <color rgb="FFDDDEE1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0">
    <xf numFmtId="0" fontId="0" fillId="0" borderId="0" xfId="0"/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0" borderId="1" xfId="0" applyFont="1" applyBorder="1"/>
    <xf numFmtId="0" fontId="0" fillId="0" borderId="1" xfId="0" applyBorder="1" applyAlignment="1">
      <alignment horizontal="left" vertical="top"/>
    </xf>
    <xf numFmtId="0" fontId="0" fillId="0" borderId="1" xfId="0" applyBorder="1"/>
    <xf numFmtId="0" fontId="2" fillId="0" borderId="1" xfId="0" applyFont="1" applyBorder="1" applyAlignment="1">
      <alignment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5" fillId="0" borderId="0" xfId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3" fillId="0" borderId="0" xfId="0" applyFont="1"/>
    <xf numFmtId="0" fontId="2" fillId="0" borderId="0" xfId="0" applyFont="1"/>
    <xf numFmtId="0" fontId="5" fillId="0" borderId="0" xfId="1"/>
    <xf numFmtId="49" fontId="0" fillId="0" borderId="0" xfId="0" applyNumberFormat="1"/>
    <xf numFmtId="0" fontId="7" fillId="0" borderId="0" xfId="0" applyFont="1"/>
    <xf numFmtId="0" fontId="7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4" fillId="2" borderId="0" xfId="0" applyFont="1" applyFill="1"/>
    <xf numFmtId="0" fontId="15" fillId="0" borderId="0" xfId="0" applyFont="1"/>
    <xf numFmtId="0" fontId="2" fillId="2" borderId="0" xfId="0" applyFont="1" applyFill="1"/>
    <xf numFmtId="0" fontId="16" fillId="0" borderId="0" xfId="1" applyFont="1" applyAlignment="1">
      <alignment wrapText="1"/>
    </xf>
    <xf numFmtId="0" fontId="17" fillId="0" borderId="0" xfId="0" applyFont="1" applyAlignment="1">
      <alignment wrapText="1"/>
    </xf>
    <xf numFmtId="0" fontId="15" fillId="2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19" fillId="0" borderId="0" xfId="0" applyFont="1" applyAlignment="1">
      <alignment horizontal="left" vertical="top"/>
    </xf>
    <xf numFmtId="0" fontId="2" fillId="0" borderId="1" xfId="0" applyFont="1" applyBorder="1"/>
    <xf numFmtId="0" fontId="16" fillId="0" borderId="0" xfId="0" applyFont="1"/>
    <xf numFmtId="0" fontId="20" fillId="0" borderId="0" xfId="0" applyFont="1"/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6" fillId="0" borderId="0" xfId="1" applyFont="1"/>
    <xf numFmtId="0" fontId="6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" xfId="0" applyFont="1" applyBorder="1" applyAlignment="1">
      <alignment wrapText="1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0" fillId="0" borderId="1" xfId="0" applyBorder="1" applyAlignment="1">
      <alignment vertical="top" wrapText="1"/>
    </xf>
    <xf numFmtId="0" fontId="15" fillId="0" borderId="1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left" vertical="top" wrapText="1"/>
    </xf>
    <xf numFmtId="0" fontId="5" fillId="0" borderId="0" xfId="1" applyAlignment="1">
      <alignment horizontal="left" vertical="top" wrapText="1"/>
    </xf>
    <xf numFmtId="0" fontId="23" fillId="3" borderId="6" xfId="0" applyFont="1" applyFill="1" applyBorder="1"/>
    <xf numFmtId="0" fontId="23" fillId="0" borderId="0" xfId="0" applyFont="1"/>
    <xf numFmtId="0" fontId="18" fillId="3" borderId="3" xfId="0" applyFont="1" applyFill="1" applyBorder="1"/>
    <xf numFmtId="0" fontId="18" fillId="3" borderId="4" xfId="0" applyFont="1" applyFill="1" applyBorder="1"/>
    <xf numFmtId="0" fontId="18" fillId="3" borderId="5" xfId="0" applyFont="1" applyFill="1" applyBorder="1"/>
    <xf numFmtId="0" fontId="0" fillId="0" borderId="0" xfId="0" applyAlignment="1">
      <alignment horizontal="left"/>
    </xf>
    <xf numFmtId="0" fontId="15" fillId="0" borderId="1" xfId="0" applyFont="1" applyBorder="1" applyAlignment="1">
      <alignment horizontal="right" vertical="top" wrapText="1"/>
    </xf>
    <xf numFmtId="0" fontId="24" fillId="0" borderId="0" xfId="0" applyFont="1" applyAlignment="1">
      <alignment horizontal="left" vertical="top" wrapText="1"/>
    </xf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</cellXfs>
  <cellStyles count="2">
    <cellStyle name="Hyperlink" xfId="1" xr:uid="{13F91523-ABD2-4945-B433-9222920E143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lbert Schweitzer" id="{0D7D5F77-E51F-473E-9240-0875B136CD32}" userId="S::aschweitzer@trinitypartners.com::f8ceb134-a760-4b89-9a2a-63c603e2dfb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5-10-07T23:07:16.41" personId="{0D7D5F77-E51F-473E-9240-0875B136CD32}" id="{134431C6-E35C-4F78-90DD-AA30FF396443}">
    <text>Required config? Deploy to same kube cluster?</text>
  </threadedComment>
  <threadedComment ref="C9" dT="2025-10-07T23:11:22.59" personId="{0D7D5F77-E51F-473E-9240-0875B136CD32}" id="{E4103163-F1D5-40C7-9CB7-CA319619BD9E}">
    <text>other IAM roles?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ai.azure.com/resource/deployments/%2Fsubscriptions%2F32d952e3-bf0b-4c12-bf9d-838a963873e8%2FresourceGroups%2Frg-sentiment-prod%2Fproviders%2FMicrosoft.CognitiveServices%2Faccounts%2Fopenai-dsi-prod%2Fdeployments%2Fgpt-4o-mini?wsid=/subscriptions/32d952e3-bf0b-4c12-bf9d-838a963873e8/resourceGroups/rg-sentiment-prod/providers/Microsoft.CognitiveServices/accounts/openai-dsi-prod&amp;tid=c88fe011-1411-4e3a-a2cf-3859b305642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getsentry/self-hosted/releases/tag/24.11.2" TargetMode="External"/><Relationship Id="rId1" Type="http://schemas.openxmlformats.org/officeDocument/2006/relationships/hyperlink" Target="https://develop.sentry.dev/self-hosted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langfuse.com/self-hosting/kubernetes-hel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aws.amazon.com/redshift/latest/mgmt/cluster-versions.html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al.azur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0CA2B-E631-4D19-B8B5-47D74C81BB64}">
  <dimension ref="A1:L38"/>
  <sheetViews>
    <sheetView tabSelected="1" topLeftCell="A22" zoomScaleNormal="100" workbookViewId="0">
      <selection activeCell="G30" sqref="G30"/>
    </sheetView>
  </sheetViews>
  <sheetFormatPr defaultRowHeight="14.5"/>
  <cols>
    <col min="1" max="1" width="4.453125" customWidth="1"/>
    <col min="2" max="2" width="29.81640625" style="51" customWidth="1"/>
    <col min="3" max="3" width="20.7265625" customWidth="1"/>
    <col min="4" max="5" width="31" style="12" customWidth="1"/>
    <col min="6" max="6" width="22.1796875" customWidth="1"/>
    <col min="7" max="7" width="36" customWidth="1"/>
    <col min="8" max="8" width="29.453125" customWidth="1"/>
    <col min="9" max="9" width="22.453125" customWidth="1"/>
    <col min="10" max="10" width="25.1796875" style="52" customWidth="1"/>
    <col min="11" max="11" width="9.1796875" style="56"/>
  </cols>
  <sheetData>
    <row r="1" spans="1:12">
      <c r="B1" s="51" t="s">
        <v>0</v>
      </c>
    </row>
    <row r="2" spans="1:12" s="51" customFormat="1" ht="29">
      <c r="A2" s="42" t="s">
        <v>1</v>
      </c>
      <c r="B2" s="42" t="s">
        <v>2</v>
      </c>
      <c r="C2" s="42" t="s">
        <v>3</v>
      </c>
      <c r="D2" s="46" t="s">
        <v>4</v>
      </c>
      <c r="E2" s="46" t="s">
        <v>5</v>
      </c>
      <c r="F2" s="46" t="s">
        <v>6</v>
      </c>
      <c r="G2" s="42" t="s">
        <v>7</v>
      </c>
      <c r="H2" s="42" t="s">
        <v>8</v>
      </c>
      <c r="I2" s="9" t="s">
        <v>9</v>
      </c>
      <c r="J2" s="50" t="s">
        <v>10</v>
      </c>
      <c r="K2" s="65" t="s">
        <v>11</v>
      </c>
      <c r="L2" s="51" t="s">
        <v>12</v>
      </c>
    </row>
    <row r="3" spans="1:12" ht="29">
      <c r="A3" s="2">
        <v>1</v>
      </c>
      <c r="B3" s="51" t="s">
        <v>13</v>
      </c>
      <c r="C3" s="4" t="s">
        <v>14</v>
      </c>
      <c r="D3" s="5" t="s">
        <v>15</v>
      </c>
      <c r="E3" s="13" t="str">
        <f>HYPERLINK("#'Postgres Database (RDS)'!A1", "See Postgres Database (RDS)")</f>
        <v>See Postgres Database (RDS)</v>
      </c>
      <c r="F3" s="5" t="s">
        <v>16</v>
      </c>
      <c r="G3" s="5"/>
      <c r="H3" s="12" t="s">
        <v>17</v>
      </c>
      <c r="I3" s="43" t="b">
        <v>1</v>
      </c>
      <c r="J3" s="52" t="s">
        <v>18</v>
      </c>
      <c r="K3" s="56" t="s">
        <v>19</v>
      </c>
      <c r="L3" s="67" t="s">
        <v>20</v>
      </c>
    </row>
    <row r="4" spans="1:12" ht="43.5">
      <c r="A4" s="2">
        <v>2</v>
      </c>
      <c r="B4" s="3" t="s">
        <v>21</v>
      </c>
      <c r="C4" s="3" t="s">
        <v>22</v>
      </c>
      <c r="D4" s="5" t="s">
        <v>23</v>
      </c>
      <c r="E4" s="5" t="s">
        <v>24</v>
      </c>
      <c r="F4" s="5" t="s">
        <v>25</v>
      </c>
      <c r="G4" s="5"/>
      <c r="H4" s="5"/>
      <c r="I4" s="43" t="b">
        <v>1</v>
      </c>
      <c r="J4" s="52" t="s">
        <v>26</v>
      </c>
      <c r="K4" s="56" t="s">
        <v>19</v>
      </c>
    </row>
    <row r="5" spans="1:12" ht="43.5">
      <c r="A5" s="2">
        <v>2.1</v>
      </c>
      <c r="B5" s="3" t="s">
        <v>27</v>
      </c>
      <c r="C5" s="3" t="s">
        <v>28</v>
      </c>
      <c r="D5" s="5" t="s">
        <v>29</v>
      </c>
      <c r="E5" s="5" t="s">
        <v>30</v>
      </c>
      <c r="F5" s="5" t="s">
        <v>19</v>
      </c>
      <c r="G5" s="5"/>
      <c r="H5" s="5"/>
      <c r="I5" s="43" t="b">
        <v>0</v>
      </c>
      <c r="J5" s="52" t="s">
        <v>31</v>
      </c>
      <c r="K5" s="56">
        <v>2</v>
      </c>
    </row>
    <row r="6" spans="1:12" ht="29">
      <c r="A6" s="2">
        <v>2.2000000000000002</v>
      </c>
      <c r="B6" s="3" t="s">
        <v>32</v>
      </c>
      <c r="C6" s="3" t="s">
        <v>28</v>
      </c>
      <c r="D6" s="5" t="s">
        <v>29</v>
      </c>
      <c r="E6" s="5" t="s">
        <v>30</v>
      </c>
      <c r="F6" s="5" t="s">
        <v>19</v>
      </c>
      <c r="G6" s="5"/>
      <c r="H6" s="5"/>
      <c r="I6" s="43" t="b">
        <v>0</v>
      </c>
      <c r="K6" s="56">
        <v>2</v>
      </c>
    </row>
    <row r="7" spans="1:12" ht="29">
      <c r="A7" s="2">
        <v>2.2999999999999998</v>
      </c>
      <c r="B7" s="3" t="s">
        <v>33</v>
      </c>
      <c r="C7" s="3" t="s">
        <v>28</v>
      </c>
      <c r="D7" s="5" t="s">
        <v>34</v>
      </c>
      <c r="E7" t="s">
        <v>35</v>
      </c>
      <c r="F7" s="5" t="s">
        <v>19</v>
      </c>
      <c r="G7" s="5"/>
      <c r="H7" s="5"/>
      <c r="I7" s="43" t="b">
        <v>0</v>
      </c>
      <c r="K7" s="56">
        <v>1</v>
      </c>
    </row>
    <row r="8" spans="1:12" ht="43.5">
      <c r="A8" s="2">
        <v>3</v>
      </c>
      <c r="B8" s="69" t="s">
        <v>36</v>
      </c>
      <c r="C8" s="69" t="s">
        <v>37</v>
      </c>
      <c r="D8" s="5" t="s">
        <v>38</v>
      </c>
      <c r="E8" s="38" t="s">
        <v>39</v>
      </c>
      <c r="F8" s="5" t="s">
        <v>25</v>
      </c>
      <c r="G8" s="21" t="s">
        <v>40</v>
      </c>
      <c r="H8" s="5" t="s">
        <v>41</v>
      </c>
      <c r="I8" s="43" t="b">
        <v>0</v>
      </c>
      <c r="J8" s="52" t="s">
        <v>42</v>
      </c>
      <c r="K8" s="56">
        <v>1</v>
      </c>
    </row>
    <row r="9" spans="1:12" ht="72.5">
      <c r="A9" s="2">
        <v>4</v>
      </c>
      <c r="B9" s="3" t="s">
        <v>43</v>
      </c>
      <c r="C9" s="3" t="s">
        <v>44</v>
      </c>
      <c r="D9" s="5" t="s">
        <v>45</v>
      </c>
      <c r="E9" s="5"/>
      <c r="F9" s="5" t="s">
        <v>25</v>
      </c>
      <c r="G9" s="21" t="s">
        <v>46</v>
      </c>
      <c r="H9" s="5" t="s">
        <v>47</v>
      </c>
      <c r="I9" s="43" t="b">
        <v>1</v>
      </c>
      <c r="K9" s="56" t="s">
        <v>19</v>
      </c>
    </row>
    <row r="10" spans="1:12" ht="29">
      <c r="A10" s="2">
        <v>5</v>
      </c>
      <c r="B10" s="3" t="s">
        <v>48</v>
      </c>
      <c r="C10" s="3" t="s">
        <v>49</v>
      </c>
      <c r="D10" s="5" t="s">
        <v>45</v>
      </c>
      <c r="E10" s="5"/>
      <c r="F10" s="5" t="s">
        <v>16</v>
      </c>
      <c r="G10" s="5"/>
      <c r="H10" s="20" t="s">
        <v>50</v>
      </c>
      <c r="I10" s="43" t="b">
        <v>1</v>
      </c>
      <c r="K10" s="56" t="s">
        <v>19</v>
      </c>
    </row>
    <row r="11" spans="1:12" ht="58">
      <c r="A11" s="31">
        <v>6</v>
      </c>
      <c r="B11" s="39" t="s">
        <v>51</v>
      </c>
      <c r="C11" s="39" t="s">
        <v>49</v>
      </c>
      <c r="D11" s="47" t="s">
        <v>52</v>
      </c>
      <c r="E11" s="47"/>
      <c r="F11" s="5" t="s">
        <v>16</v>
      </c>
      <c r="G11" s="38" t="s">
        <v>53</v>
      </c>
      <c r="H11" s="22"/>
      <c r="I11" s="43" t="b">
        <v>1</v>
      </c>
      <c r="J11" s="53" t="s">
        <v>54</v>
      </c>
      <c r="K11" s="56" t="s">
        <v>19</v>
      </c>
    </row>
    <row r="12" spans="1:12" ht="58">
      <c r="A12" s="31">
        <v>7</v>
      </c>
      <c r="B12" s="3" t="s">
        <v>55</v>
      </c>
      <c r="C12" s="3" t="s">
        <v>56</v>
      </c>
      <c r="D12" s="5" t="s">
        <v>45</v>
      </c>
      <c r="E12" s="13" t="str">
        <f>HYPERLINK("#'Sentry'!A1", "See Sentry")</f>
        <v>See Sentry</v>
      </c>
      <c r="F12" s="5" t="s">
        <v>16</v>
      </c>
      <c r="G12" s="5"/>
      <c r="H12" s="5" t="s">
        <v>57</v>
      </c>
      <c r="I12" s="43" t="b">
        <v>1</v>
      </c>
      <c r="J12" s="52" t="s">
        <v>58</v>
      </c>
      <c r="K12" s="56">
        <v>2</v>
      </c>
    </row>
    <row r="13" spans="1:12" ht="29">
      <c r="A13" s="31">
        <v>8</v>
      </c>
      <c r="B13" s="3" t="s">
        <v>59</v>
      </c>
      <c r="C13" s="3" t="s">
        <v>60</v>
      </c>
      <c r="D13" s="5" t="s">
        <v>61</v>
      </c>
      <c r="E13" s="13" t="str">
        <f>HYPERLINK("#'Langfuse'!A1", "See Langfuse")</f>
        <v>See Langfuse</v>
      </c>
      <c r="F13" s="5" t="s">
        <v>16</v>
      </c>
      <c r="G13" s="5"/>
      <c r="H13" s="20" t="s">
        <v>62</v>
      </c>
      <c r="I13" s="43" t="b">
        <v>1</v>
      </c>
      <c r="J13" s="52" t="s">
        <v>63</v>
      </c>
      <c r="K13" s="56" t="s">
        <v>19</v>
      </c>
    </row>
    <row r="14" spans="1:12" ht="29">
      <c r="A14" s="31">
        <v>9</v>
      </c>
      <c r="B14" s="51" t="s">
        <v>64</v>
      </c>
      <c r="C14" t="s">
        <v>65</v>
      </c>
      <c r="D14" s="12" t="s">
        <v>66</v>
      </c>
      <c r="E14" s="13" t="str">
        <f>HYPERLINK("#'Redshift Serverless'!A1", "See Redshift Serverless")</f>
        <v>See Redshift Serverless</v>
      </c>
      <c r="F14" s="5" t="s">
        <v>16</v>
      </c>
      <c r="G14" s="12"/>
      <c r="H14" s="21" t="s">
        <v>67</v>
      </c>
      <c r="I14" s="43" t="b">
        <v>1</v>
      </c>
      <c r="K14" s="56" t="s">
        <v>19</v>
      </c>
    </row>
    <row r="15" spans="1:12" ht="43.5">
      <c r="A15" s="31">
        <v>10</v>
      </c>
      <c r="B15" s="3" t="s">
        <v>68</v>
      </c>
      <c r="C15" s="5" t="s">
        <v>69</v>
      </c>
      <c r="D15" s="5" t="s">
        <v>70</v>
      </c>
      <c r="E15" s="5" t="s">
        <v>71</v>
      </c>
      <c r="F15" s="5" t="s">
        <v>25</v>
      </c>
      <c r="G15" s="5"/>
      <c r="H15" s="5" t="s">
        <v>72</v>
      </c>
      <c r="I15" s="43" t="b">
        <v>0</v>
      </c>
      <c r="J15" s="52" t="s">
        <v>73</v>
      </c>
      <c r="K15" s="56">
        <v>2</v>
      </c>
    </row>
    <row r="16" spans="1:12" ht="29">
      <c r="A16" s="31">
        <v>11</v>
      </c>
      <c r="B16" s="3" t="s">
        <v>74</v>
      </c>
      <c r="C16" s="3" t="s">
        <v>75</v>
      </c>
      <c r="D16" s="5" t="s">
        <v>76</v>
      </c>
      <c r="F16" s="5" t="s">
        <v>16</v>
      </c>
      <c r="G16" s="5"/>
      <c r="H16" s="5"/>
      <c r="I16" s="43" t="b">
        <v>1</v>
      </c>
      <c r="K16" s="56" t="s">
        <v>19</v>
      </c>
    </row>
    <row r="17" spans="1:11" ht="29">
      <c r="A17" s="31">
        <v>12</v>
      </c>
      <c r="B17" s="3" t="s">
        <v>77</v>
      </c>
      <c r="C17" s="3" t="s">
        <v>78</v>
      </c>
      <c r="D17" s="5" t="s">
        <v>79</v>
      </c>
      <c r="E17" s="5"/>
      <c r="F17" s="5" t="s">
        <v>16</v>
      </c>
      <c r="G17" s="5"/>
      <c r="H17" s="5"/>
      <c r="I17" s="43" t="b">
        <v>1</v>
      </c>
      <c r="K17" s="56" t="s">
        <v>19</v>
      </c>
    </row>
    <row r="18" spans="1:11" ht="29">
      <c r="A18" s="31">
        <v>13</v>
      </c>
      <c r="B18" s="41" t="s">
        <v>80</v>
      </c>
      <c r="C18" s="41" t="s">
        <v>81</v>
      </c>
      <c r="D18" s="48" t="s">
        <v>82</v>
      </c>
      <c r="E18" s="48"/>
      <c r="F18" s="5" t="s">
        <v>16</v>
      </c>
      <c r="G18" s="5"/>
      <c r="H18" s="5"/>
      <c r="I18" s="43" t="b">
        <v>1</v>
      </c>
      <c r="J18" s="52" t="s">
        <v>83</v>
      </c>
      <c r="K18" s="56">
        <v>2</v>
      </c>
    </row>
    <row r="19" spans="1:11" ht="29">
      <c r="A19" s="31">
        <v>14</v>
      </c>
      <c r="B19" s="3" t="s">
        <v>84</v>
      </c>
      <c r="C19" t="s">
        <v>85</v>
      </c>
      <c r="D19" s="12" t="s">
        <v>86</v>
      </c>
      <c r="E19" s="13" t="str">
        <f>HYPERLINK("#'S3'!A1", "See S3")</f>
        <v>See S3</v>
      </c>
      <c r="F19" s="5" t="s">
        <v>16</v>
      </c>
      <c r="G19" s="23"/>
      <c r="H19" s="5"/>
      <c r="I19" s="43" t="b">
        <v>1</v>
      </c>
      <c r="K19" s="56" t="s">
        <v>19</v>
      </c>
    </row>
    <row r="20" spans="1:11" ht="29">
      <c r="A20" s="31">
        <v>15</v>
      </c>
      <c r="B20" s="51" t="s">
        <v>87</v>
      </c>
      <c r="C20" t="s">
        <v>88</v>
      </c>
      <c r="D20" s="12" t="s">
        <v>89</v>
      </c>
      <c r="E20" s="13" t="str">
        <f>HYPERLINK("#'OpenAI'!A1", "See OpenAI")</f>
        <v>See OpenAI</v>
      </c>
      <c r="F20" s="5" t="s">
        <v>16</v>
      </c>
      <c r="G20" s="12"/>
      <c r="H20" s="20" t="s">
        <v>62</v>
      </c>
      <c r="I20" s="43" t="b">
        <v>1</v>
      </c>
      <c r="J20" s="52" t="s">
        <v>90</v>
      </c>
      <c r="K20" s="56" t="s">
        <v>19</v>
      </c>
    </row>
    <row r="21" spans="1:11" ht="43.5">
      <c r="A21" s="31">
        <v>16</v>
      </c>
      <c r="B21" s="3" t="s">
        <v>91</v>
      </c>
      <c r="C21" t="s">
        <v>85</v>
      </c>
      <c r="D21" s="12" t="s">
        <v>92</v>
      </c>
      <c r="E21" s="13" t="str">
        <f>HYPERLINK("#'S3'!A1", "See S3")</f>
        <v>See S3</v>
      </c>
      <c r="F21" s="5" t="s">
        <v>25</v>
      </c>
      <c r="I21" s="43" t="b">
        <v>1</v>
      </c>
      <c r="K21" s="56" t="s">
        <v>19</v>
      </c>
    </row>
    <row r="22" spans="1:11" ht="29">
      <c r="A22" s="31">
        <v>17</v>
      </c>
      <c r="B22" s="3" t="s">
        <v>93</v>
      </c>
      <c r="C22" s="3" t="s">
        <v>94</v>
      </c>
      <c r="D22" s="5" t="s">
        <v>95</v>
      </c>
      <c r="E22" s="13" t="str">
        <f>HYPERLINK("#'Redis Server (ElastiCache)'!A1", "See Redis Server (ElastiCache)")</f>
        <v>See Redis Server (ElastiCache)</v>
      </c>
      <c r="F22" s="5" t="s">
        <v>16</v>
      </c>
      <c r="G22" s="5"/>
      <c r="H22" s="20" t="s">
        <v>62</v>
      </c>
      <c r="I22" s="43" t="b">
        <v>0</v>
      </c>
      <c r="K22" s="56">
        <v>1</v>
      </c>
    </row>
    <row r="23" spans="1:11" ht="58">
      <c r="A23" s="31">
        <v>18</v>
      </c>
      <c r="B23" s="3" t="s">
        <v>96</v>
      </c>
      <c r="C23" s="3" t="s">
        <v>97</v>
      </c>
      <c r="D23" s="5" t="s">
        <v>98</v>
      </c>
      <c r="E23" s="13" t="str">
        <f>HYPERLINK("#'OpenSearch cluster'!A1", "See OpenSearch")</f>
        <v>See OpenSearch</v>
      </c>
      <c r="F23" s="5" t="s">
        <v>16</v>
      </c>
      <c r="G23" s="5"/>
      <c r="H23" s="20" t="s">
        <v>62</v>
      </c>
      <c r="I23" s="43" t="b">
        <v>0</v>
      </c>
      <c r="J23" s="52" t="s">
        <v>99</v>
      </c>
      <c r="K23" s="56">
        <v>1</v>
      </c>
    </row>
    <row r="24" spans="1:11" ht="29">
      <c r="A24" s="31">
        <v>19</v>
      </c>
      <c r="B24" s="39" t="s">
        <v>100</v>
      </c>
      <c r="C24" s="40" t="s">
        <v>85</v>
      </c>
      <c r="D24" s="47" t="s">
        <v>101</v>
      </c>
      <c r="E24" s="13" t="str">
        <f>HYPERLINK("#'Airflow'!A1", "See Airflow")</f>
        <v>See Airflow</v>
      </c>
      <c r="F24" s="5" t="s">
        <v>16</v>
      </c>
      <c r="G24" s="5"/>
      <c r="H24" s="5" t="s">
        <v>102</v>
      </c>
      <c r="I24" s="43" t="b">
        <v>1</v>
      </c>
      <c r="K24" s="56" t="s">
        <v>19</v>
      </c>
    </row>
    <row r="25" spans="1:11" ht="72.5">
      <c r="A25" s="31">
        <v>20</v>
      </c>
      <c r="B25" s="3" t="s">
        <v>103</v>
      </c>
      <c r="C25" s="3" t="s">
        <v>104</v>
      </c>
      <c r="D25" s="5" t="s">
        <v>38</v>
      </c>
      <c r="E25" s="38" t="s">
        <v>105</v>
      </c>
      <c r="F25" s="5" t="s">
        <v>25</v>
      </c>
      <c r="G25" s="5" t="s">
        <v>106</v>
      </c>
      <c r="H25" s="5" t="s">
        <v>107</v>
      </c>
      <c r="I25" s="43" t="b">
        <v>0</v>
      </c>
      <c r="J25" s="52" t="s">
        <v>42</v>
      </c>
      <c r="K25" s="56">
        <v>1</v>
      </c>
    </row>
    <row r="26" spans="1:11" ht="35.25" customHeight="1">
      <c r="A26" s="31">
        <v>21</v>
      </c>
      <c r="B26" s="5" t="s">
        <v>108</v>
      </c>
      <c r="C26" s="5" t="s">
        <v>109</v>
      </c>
      <c r="D26" s="5" t="s">
        <v>110</v>
      </c>
      <c r="E26" s="13" t="str">
        <f>HYPERLINK("#'Location Services'!A1", "See Location Services")</f>
        <v>See Location Services</v>
      </c>
      <c r="F26" s="5" t="s">
        <v>16</v>
      </c>
      <c r="G26" s="5"/>
      <c r="H26" s="5"/>
      <c r="I26" s="43" t="b">
        <v>1</v>
      </c>
      <c r="J26" s="52" t="s">
        <v>111</v>
      </c>
      <c r="K26" s="56">
        <v>2</v>
      </c>
    </row>
    <row r="27" spans="1:11" ht="29">
      <c r="A27" s="31">
        <v>22</v>
      </c>
      <c r="B27" s="5" t="s">
        <v>112</v>
      </c>
      <c r="C27" s="5" t="s">
        <v>113</v>
      </c>
      <c r="D27" s="5" t="s">
        <v>114</v>
      </c>
      <c r="E27" s="5"/>
      <c r="F27" s="5" t="s">
        <v>16</v>
      </c>
      <c r="G27" s="5"/>
      <c r="H27" s="5"/>
      <c r="I27" s="43" t="b">
        <v>1</v>
      </c>
      <c r="J27" s="52" t="s">
        <v>111</v>
      </c>
      <c r="K27" s="56">
        <v>2</v>
      </c>
    </row>
    <row r="28" spans="1:11" ht="43.5">
      <c r="A28" s="31">
        <v>23</v>
      </c>
      <c r="B28" s="5" t="s">
        <v>115</v>
      </c>
      <c r="C28" s="5" t="s">
        <v>116</v>
      </c>
      <c r="D28" s="5" t="s">
        <v>117</v>
      </c>
      <c r="E28" s="5" t="s">
        <v>118</v>
      </c>
      <c r="F28" s="5" t="s">
        <v>25</v>
      </c>
      <c r="G28" s="5"/>
      <c r="H28" s="5"/>
      <c r="I28" s="43" t="b">
        <v>0</v>
      </c>
      <c r="J28" s="52" t="s">
        <v>119</v>
      </c>
      <c r="K28" s="56">
        <v>2</v>
      </c>
    </row>
    <row r="29" spans="1:11" ht="43.5">
      <c r="A29" s="31">
        <v>24</v>
      </c>
      <c r="B29" s="69" t="s">
        <v>68</v>
      </c>
      <c r="C29" s="22" t="s">
        <v>69</v>
      </c>
      <c r="D29" s="22" t="s">
        <v>120</v>
      </c>
      <c r="E29" s="22" t="s">
        <v>121</v>
      </c>
      <c r="F29" s="5" t="s">
        <v>25</v>
      </c>
      <c r="G29" s="5"/>
      <c r="H29" s="5" t="s">
        <v>122</v>
      </c>
      <c r="I29" s="43" t="b">
        <v>0</v>
      </c>
      <c r="J29" s="52" t="s">
        <v>73</v>
      </c>
      <c r="K29" s="56">
        <v>2</v>
      </c>
    </row>
    <row r="30" spans="1:11" ht="43.5">
      <c r="A30" s="31">
        <v>25</v>
      </c>
      <c r="B30" s="3" t="s">
        <v>123</v>
      </c>
      <c r="C30" s="3" t="s">
        <v>124</v>
      </c>
      <c r="D30" s="5"/>
      <c r="E30" s="5"/>
      <c r="F30" s="5" t="s">
        <v>25</v>
      </c>
      <c r="G30" s="5"/>
      <c r="H30" s="5"/>
      <c r="I30" s="43" t="b">
        <v>0</v>
      </c>
      <c r="J30" s="52" t="s">
        <v>125</v>
      </c>
      <c r="K30" s="56">
        <v>2</v>
      </c>
    </row>
    <row r="31" spans="1:11" ht="43.5">
      <c r="A31" s="31">
        <v>26</v>
      </c>
      <c r="B31" s="3" t="s">
        <v>126</v>
      </c>
      <c r="C31" s="3" t="s">
        <v>127</v>
      </c>
      <c r="D31" s="5" t="s">
        <v>128</v>
      </c>
      <c r="E31" s="5"/>
      <c r="F31" s="5" t="s">
        <v>25</v>
      </c>
      <c r="G31" s="12"/>
      <c r="I31" s="43" t="b">
        <v>0</v>
      </c>
      <c r="K31" s="56">
        <v>2</v>
      </c>
    </row>
    <row r="32" spans="1:11">
      <c r="B32" s="68" t="s">
        <v>129</v>
      </c>
      <c r="C32" s="12"/>
    </row>
    <row r="33" spans="1:10">
      <c r="C33" s="12"/>
    </row>
    <row r="34" spans="1:10">
      <c r="A34" s="35" t="s">
        <v>9</v>
      </c>
      <c r="B34" s="7"/>
      <c r="C34" s="7"/>
      <c r="D34" s="36"/>
      <c r="E34" s="36"/>
      <c r="F34" s="7"/>
      <c r="G34" s="36"/>
      <c r="H34" s="36"/>
      <c r="I34" s="8"/>
      <c r="J34" s="54"/>
    </row>
    <row r="35" spans="1:10" ht="29">
      <c r="A35" s="11">
        <v>100</v>
      </c>
      <c r="B35" s="3" t="s">
        <v>130</v>
      </c>
      <c r="C35" s="3" t="s">
        <v>131</v>
      </c>
      <c r="D35" s="5"/>
      <c r="E35" s="5"/>
      <c r="F35" s="5" t="s">
        <v>16</v>
      </c>
      <c r="G35" s="5"/>
      <c r="H35" s="5" t="s">
        <v>132</v>
      </c>
      <c r="I35" s="43" t="b">
        <v>1</v>
      </c>
    </row>
    <row r="36" spans="1:10" ht="43.5">
      <c r="A36" s="11">
        <v>101</v>
      </c>
      <c r="B36" s="3" t="s">
        <v>133</v>
      </c>
      <c r="C36" s="3" t="s">
        <v>134</v>
      </c>
      <c r="D36" s="5" t="s">
        <v>135</v>
      </c>
      <c r="E36" s="5"/>
      <c r="F36" s="5" t="s">
        <v>25</v>
      </c>
      <c r="G36" s="5"/>
      <c r="H36" s="5"/>
      <c r="I36" s="43" t="b">
        <v>1</v>
      </c>
    </row>
    <row r="37" spans="1:10">
      <c r="A37" s="11"/>
      <c r="B37" s="3"/>
      <c r="C37" s="3"/>
      <c r="D37" s="49"/>
      <c r="E37" s="49"/>
      <c r="F37" s="3"/>
      <c r="G37" s="12"/>
    </row>
    <row r="38" spans="1:10">
      <c r="A38" s="3"/>
      <c r="B38" s="3"/>
      <c r="C38" s="3"/>
      <c r="D38" s="49"/>
      <c r="E38" s="49"/>
      <c r="F38" s="3"/>
      <c r="G38" s="12"/>
    </row>
  </sheetData>
  <autoFilter ref="K1:K38" xr:uid="{52B0CA2B-E631-4D19-B8B5-47D74C81BB64}"/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ACA4B-6740-45A2-8C04-B85B9691FDF8}">
  <dimension ref="A1:K23"/>
  <sheetViews>
    <sheetView workbookViewId="0">
      <selection activeCell="E3" sqref="E3"/>
    </sheetView>
  </sheetViews>
  <sheetFormatPr defaultRowHeight="14.5"/>
  <cols>
    <col min="1" max="1" width="4.453125" customWidth="1"/>
    <col min="2" max="2" width="29.81640625" customWidth="1"/>
    <col min="3" max="3" width="20.7265625" style="12" customWidth="1"/>
    <col min="4" max="4" width="29.453125" style="12" customWidth="1"/>
    <col min="5" max="5" width="29.26953125" style="12" customWidth="1"/>
    <col min="6" max="6" width="20.7265625" customWidth="1"/>
    <col min="7" max="7" width="27.7265625" customWidth="1"/>
    <col min="8" max="8" width="27.453125" customWidth="1"/>
    <col min="9" max="9" width="20.1796875" customWidth="1"/>
    <col min="10" max="10" width="25.1796875" style="12" customWidth="1"/>
    <col min="11" max="11" width="9.1796875" style="56"/>
  </cols>
  <sheetData>
    <row r="1" spans="1:11">
      <c r="A1" s="42" t="s">
        <v>1</v>
      </c>
      <c r="B1" s="42" t="s">
        <v>2</v>
      </c>
      <c r="C1" s="46" t="s">
        <v>3</v>
      </c>
      <c r="D1" s="46" t="s">
        <v>4</v>
      </c>
      <c r="E1" s="46" t="s">
        <v>5</v>
      </c>
      <c r="F1" s="42" t="s">
        <v>136</v>
      </c>
      <c r="G1" s="42" t="s">
        <v>7</v>
      </c>
      <c r="H1" s="42" t="s">
        <v>8</v>
      </c>
      <c r="I1" s="32" t="s">
        <v>9</v>
      </c>
      <c r="J1" s="44" t="s">
        <v>10</v>
      </c>
      <c r="K1" s="55" t="s">
        <v>11</v>
      </c>
    </row>
    <row r="2" spans="1:11" ht="43.5">
      <c r="A2" s="2">
        <v>1</v>
      </c>
      <c r="B2" s="3" t="s">
        <v>137</v>
      </c>
      <c r="C2" s="57" t="s">
        <v>14</v>
      </c>
      <c r="D2" s="5" t="s">
        <v>15</v>
      </c>
      <c r="E2" s="58" t="str">
        <f>HYPERLINK("#'Postgres Database (RDS)'!A1", "See Postgres Database (RDS)")</f>
        <v>See Postgres Database (RDS)</v>
      </c>
      <c r="F2" s="5" t="s">
        <v>138</v>
      </c>
      <c r="G2" s="5"/>
      <c r="H2" s="12" t="s">
        <v>139</v>
      </c>
      <c r="I2" s="43" t="b">
        <v>0</v>
      </c>
      <c r="J2" s="12" t="s">
        <v>140</v>
      </c>
      <c r="K2" s="56">
        <v>1</v>
      </c>
    </row>
    <row r="3" spans="1:11" ht="43.5">
      <c r="A3" s="2">
        <v>2</v>
      </c>
      <c r="B3" s="3" t="s">
        <v>21</v>
      </c>
      <c r="C3" s="5" t="s">
        <v>22</v>
      </c>
      <c r="D3" s="5" t="s">
        <v>24</v>
      </c>
      <c r="E3" s="66" t="s">
        <v>141</v>
      </c>
      <c r="F3" s="5" t="s">
        <v>138</v>
      </c>
      <c r="G3" s="5"/>
      <c r="H3" s="5"/>
      <c r="I3" s="43" t="b">
        <v>0</v>
      </c>
      <c r="J3" s="12" t="s">
        <v>142</v>
      </c>
      <c r="K3" s="56">
        <v>1</v>
      </c>
    </row>
    <row r="4" spans="1:11" ht="43.5">
      <c r="A4" s="2"/>
      <c r="B4" s="3" t="s">
        <v>27</v>
      </c>
      <c r="C4" s="5"/>
      <c r="D4" s="5"/>
      <c r="E4" s="5"/>
      <c r="F4" s="5"/>
      <c r="G4" s="5"/>
      <c r="H4" s="5"/>
      <c r="I4" s="43" t="b">
        <v>0</v>
      </c>
      <c r="J4" s="52" t="s">
        <v>31</v>
      </c>
      <c r="K4" s="56">
        <v>2</v>
      </c>
    </row>
    <row r="5" spans="1:11">
      <c r="A5" s="2"/>
      <c r="B5" s="3" t="s">
        <v>32</v>
      </c>
      <c r="C5" s="5"/>
      <c r="D5" s="5"/>
      <c r="E5" s="5"/>
      <c r="F5" s="5"/>
      <c r="G5" s="5"/>
      <c r="H5" s="5"/>
      <c r="I5" s="43" t="b">
        <v>0</v>
      </c>
      <c r="K5" s="56">
        <v>2</v>
      </c>
    </row>
    <row r="6" spans="1:11" ht="43.5">
      <c r="A6" s="2">
        <v>3</v>
      </c>
      <c r="B6" s="3" t="s">
        <v>143</v>
      </c>
      <c r="C6" s="5" t="s">
        <v>37</v>
      </c>
      <c r="D6" s="5" t="s">
        <v>45</v>
      </c>
      <c r="E6" s="5"/>
      <c r="F6" s="5" t="s">
        <v>138</v>
      </c>
      <c r="G6" s="21" t="s">
        <v>144</v>
      </c>
      <c r="H6" s="5" t="s">
        <v>41</v>
      </c>
      <c r="I6" s="43" t="b">
        <v>0</v>
      </c>
      <c r="J6" s="52" t="s">
        <v>42</v>
      </c>
      <c r="K6" s="56">
        <v>1</v>
      </c>
    </row>
    <row r="7" spans="1:11" ht="58">
      <c r="A7" s="31">
        <v>4</v>
      </c>
      <c r="B7" s="3" t="s">
        <v>145</v>
      </c>
      <c r="C7" s="5" t="s">
        <v>104</v>
      </c>
      <c r="D7" s="5" t="s">
        <v>45</v>
      </c>
      <c r="E7" s="5"/>
      <c r="F7" s="5" t="s">
        <v>138</v>
      </c>
      <c r="G7" s="5" t="s">
        <v>146</v>
      </c>
      <c r="H7" s="5" t="s">
        <v>41</v>
      </c>
      <c r="I7" s="43" t="b">
        <v>0</v>
      </c>
      <c r="J7" s="52" t="s">
        <v>42</v>
      </c>
      <c r="K7" s="56">
        <v>1</v>
      </c>
    </row>
    <row r="8" spans="1:11" ht="43.5">
      <c r="A8" s="31">
        <v>5</v>
      </c>
      <c r="B8" s="3" t="s">
        <v>147</v>
      </c>
      <c r="C8" s="5" t="s">
        <v>148</v>
      </c>
      <c r="D8" s="5"/>
      <c r="E8" s="5"/>
      <c r="F8" s="5" t="s">
        <v>138</v>
      </c>
      <c r="G8" s="5"/>
      <c r="H8" s="5"/>
      <c r="I8" s="43" t="b">
        <v>0</v>
      </c>
      <c r="K8" s="56">
        <v>1</v>
      </c>
    </row>
    <row r="9" spans="1:11" ht="43.5">
      <c r="A9" s="31">
        <v>6</v>
      </c>
      <c r="B9" s="3" t="s">
        <v>149</v>
      </c>
      <c r="C9" s="5" t="s">
        <v>150</v>
      </c>
      <c r="D9" s="5"/>
      <c r="E9" s="5"/>
      <c r="F9" s="5" t="s">
        <v>138</v>
      </c>
      <c r="G9" s="5"/>
      <c r="H9" s="5"/>
      <c r="I9" s="43" t="b">
        <v>0</v>
      </c>
      <c r="K9" s="56">
        <v>1</v>
      </c>
    </row>
    <row r="10" spans="1:11" ht="43.5">
      <c r="A10" s="31">
        <v>7</v>
      </c>
      <c r="B10" s="3" t="s">
        <v>93</v>
      </c>
      <c r="C10" s="5" t="s">
        <v>94</v>
      </c>
      <c r="D10" s="5" t="s">
        <v>95</v>
      </c>
      <c r="E10" s="58" t="str">
        <f>HYPERLINK("#'Redis Server (ElastiCache)'!A1", "See Redis Server (ElastiCache)")</f>
        <v>See Redis Server (ElastiCache)</v>
      </c>
      <c r="F10" s="5" t="s">
        <v>138</v>
      </c>
      <c r="G10" s="5"/>
      <c r="H10" s="12" t="s">
        <v>139</v>
      </c>
      <c r="I10" s="43" t="b">
        <v>0</v>
      </c>
      <c r="J10" s="12" t="s">
        <v>151</v>
      </c>
      <c r="K10" s="56" t="s">
        <v>19</v>
      </c>
    </row>
    <row r="11" spans="1:11" ht="43.5">
      <c r="A11" s="31">
        <v>8</v>
      </c>
      <c r="B11" s="3" t="s">
        <v>152</v>
      </c>
      <c r="C11" s="5" t="s">
        <v>153</v>
      </c>
      <c r="D11" s="5" t="s">
        <v>154</v>
      </c>
      <c r="E11" s="5" t="s">
        <v>155</v>
      </c>
      <c r="F11" s="5" t="s">
        <v>138</v>
      </c>
      <c r="I11" s="43" t="b">
        <v>0</v>
      </c>
      <c r="K11" s="56">
        <v>2</v>
      </c>
    </row>
    <row r="12" spans="1:11" ht="43.5">
      <c r="A12" s="31">
        <v>9</v>
      </c>
      <c r="B12" s="3" t="s">
        <v>156</v>
      </c>
      <c r="C12" s="5" t="s">
        <v>153</v>
      </c>
      <c r="D12" s="5" t="s">
        <v>154</v>
      </c>
      <c r="E12" s="5" t="s">
        <v>157</v>
      </c>
      <c r="F12" s="5" t="s">
        <v>138</v>
      </c>
      <c r="I12" s="43" t="b">
        <v>0</v>
      </c>
      <c r="K12" s="56">
        <v>2</v>
      </c>
    </row>
    <row r="13" spans="1:11" ht="43.5">
      <c r="A13" s="31">
        <v>10</v>
      </c>
      <c r="B13" s="3" t="s">
        <v>158</v>
      </c>
      <c r="C13" s="5" t="s">
        <v>159</v>
      </c>
      <c r="D13" s="5" t="s">
        <v>128</v>
      </c>
      <c r="E13" s="5"/>
      <c r="F13" s="5" t="s">
        <v>138</v>
      </c>
      <c r="I13" s="43" t="b">
        <v>0</v>
      </c>
      <c r="K13" s="56">
        <v>2</v>
      </c>
    </row>
    <row r="14" spans="1:11" ht="43.5">
      <c r="A14" s="31">
        <v>11</v>
      </c>
      <c r="B14" s="5" t="s">
        <v>160</v>
      </c>
      <c r="C14" s="5" t="s">
        <v>116</v>
      </c>
      <c r="D14" s="5" t="s">
        <v>117</v>
      </c>
      <c r="E14" s="22" t="s">
        <v>161</v>
      </c>
      <c r="F14" s="5" t="s">
        <v>138</v>
      </c>
      <c r="G14" s="5"/>
      <c r="H14" s="5"/>
      <c r="I14" s="43" t="b">
        <v>0</v>
      </c>
      <c r="K14" s="56">
        <v>2</v>
      </c>
    </row>
    <row r="15" spans="1:11">
      <c r="A15" s="31">
        <v>12</v>
      </c>
      <c r="B15" s="67" t="s">
        <v>162</v>
      </c>
    </row>
    <row r="16" spans="1:11">
      <c r="A16" s="31">
        <v>13</v>
      </c>
      <c r="B16" s="67" t="s">
        <v>129</v>
      </c>
    </row>
    <row r="18" spans="1:8">
      <c r="A18" s="35" t="s">
        <v>9</v>
      </c>
      <c r="B18" s="7"/>
      <c r="C18" s="36"/>
      <c r="D18" s="36"/>
      <c r="E18" s="36"/>
      <c r="F18" s="7"/>
      <c r="G18" s="36"/>
      <c r="H18" s="36"/>
    </row>
    <row r="19" spans="1:8" ht="29">
      <c r="A19" s="11">
        <v>100</v>
      </c>
      <c r="B19" s="3" t="s">
        <v>133</v>
      </c>
      <c r="C19" s="5" t="s">
        <v>134</v>
      </c>
      <c r="D19" s="5" t="s">
        <v>135</v>
      </c>
      <c r="E19" s="5"/>
      <c r="F19" s="3"/>
      <c r="G19" s="5"/>
      <c r="H19" s="5"/>
    </row>
    <row r="20" spans="1:8">
      <c r="A20" s="11">
        <v>101</v>
      </c>
      <c r="B20" s="3" t="s">
        <v>123</v>
      </c>
      <c r="C20" s="5" t="s">
        <v>163</v>
      </c>
      <c r="D20" s="5"/>
      <c r="E20" s="5"/>
      <c r="F20" s="3"/>
      <c r="G20" s="5"/>
      <c r="H20" s="5"/>
    </row>
    <row r="22" spans="1:8">
      <c r="F22" s="3"/>
    </row>
    <row r="23" spans="1:8">
      <c r="F23" s="3"/>
    </row>
  </sheetData>
  <pageMargins left="0.7" right="0.7" top="0.75" bottom="0.75" header="0.3" footer="0.3"/>
  <headerFooter>
    <oddFooter>&amp;C_x000D_&amp;1#&amp;"Aptos"&amp;10&amp;K000000 Document Contains Trinity Confidential Information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C620-1B2B-4683-927C-41DB52E1836F}">
  <dimension ref="A1:E46"/>
  <sheetViews>
    <sheetView topLeftCell="A27" workbookViewId="0">
      <selection activeCell="C36" sqref="C36"/>
    </sheetView>
  </sheetViews>
  <sheetFormatPr defaultRowHeight="14.5"/>
  <cols>
    <col min="1" max="1" width="30.26953125" bestFit="1" customWidth="1"/>
    <col min="2" max="2" width="57.54296875" customWidth="1"/>
    <col min="3" max="3" width="32.7265625" customWidth="1"/>
    <col min="4" max="4" width="41.7265625" style="12" customWidth="1"/>
    <col min="5" max="5" width="21" bestFit="1" customWidth="1"/>
  </cols>
  <sheetData>
    <row r="1" spans="1:5">
      <c r="A1" t="s">
        <v>164</v>
      </c>
    </row>
    <row r="2" spans="1:5">
      <c r="A2" s="1" t="s">
        <v>2</v>
      </c>
      <c r="B2" s="1" t="s">
        <v>165</v>
      </c>
      <c r="C2" s="1" t="s">
        <v>166</v>
      </c>
      <c r="D2" s="45" t="s">
        <v>167</v>
      </c>
      <c r="E2" s="1" t="s">
        <v>9</v>
      </c>
    </row>
    <row r="3" spans="1:5">
      <c r="A3" s="3" t="s">
        <v>168</v>
      </c>
      <c r="B3" s="3" t="s">
        <v>169</v>
      </c>
      <c r="C3" s="3" t="s">
        <v>170</v>
      </c>
      <c r="D3" s="5"/>
      <c r="E3" s="43" t="b">
        <v>1</v>
      </c>
    </row>
    <row r="4" spans="1:5">
      <c r="A4" s="3" t="s">
        <v>171</v>
      </c>
      <c r="B4" s="3" t="s">
        <v>172</v>
      </c>
      <c r="C4" s="3" t="s">
        <v>170</v>
      </c>
      <c r="D4" s="5"/>
      <c r="E4" s="43" t="b">
        <v>1</v>
      </c>
    </row>
    <row r="5" spans="1:5">
      <c r="A5" s="3" t="s">
        <v>173</v>
      </c>
      <c r="B5" s="3">
        <v>1</v>
      </c>
      <c r="C5" s="3" t="s">
        <v>174</v>
      </c>
      <c r="D5" s="5" t="s">
        <v>175</v>
      </c>
      <c r="E5" s="43" t="b">
        <v>1</v>
      </c>
    </row>
    <row r="6" spans="1:5">
      <c r="A6" s="3" t="s">
        <v>176</v>
      </c>
      <c r="B6" t="s">
        <v>177</v>
      </c>
      <c r="C6" s="3" t="s">
        <v>178</v>
      </c>
      <c r="D6" s="5"/>
      <c r="E6" s="43" t="b">
        <v>1</v>
      </c>
    </row>
    <row r="7" spans="1:5">
      <c r="A7" s="3" t="s">
        <v>179</v>
      </c>
      <c r="B7" s="3" t="s">
        <v>180</v>
      </c>
      <c r="C7" s="3" t="s">
        <v>178</v>
      </c>
      <c r="D7" s="5"/>
      <c r="E7" s="43" t="b">
        <v>1</v>
      </c>
    </row>
    <row r="8" spans="1:5">
      <c r="A8" t="s">
        <v>181</v>
      </c>
      <c r="B8" t="s">
        <v>182</v>
      </c>
      <c r="C8" t="s">
        <v>183</v>
      </c>
      <c r="D8" s="5" t="s">
        <v>184</v>
      </c>
      <c r="E8" s="43" t="b">
        <v>1</v>
      </c>
    </row>
    <row r="9" spans="1:5" ht="29">
      <c r="A9" s="3" t="s">
        <v>185</v>
      </c>
      <c r="B9" s="5" t="s">
        <v>186</v>
      </c>
      <c r="C9" s="3" t="s">
        <v>187</v>
      </c>
      <c r="D9" s="5" t="s">
        <v>188</v>
      </c>
      <c r="E9" s="43" t="b">
        <v>1</v>
      </c>
    </row>
    <row r="10" spans="1:5">
      <c r="A10" t="s">
        <v>189</v>
      </c>
      <c r="B10" t="s">
        <v>190</v>
      </c>
      <c r="C10" t="s">
        <v>191</v>
      </c>
      <c r="D10" s="5"/>
      <c r="E10" s="43" t="b">
        <v>1</v>
      </c>
    </row>
    <row r="11" spans="1:5">
      <c r="A11" t="s">
        <v>192</v>
      </c>
      <c r="B11" s="64">
        <v>100</v>
      </c>
      <c r="C11" t="s">
        <v>191</v>
      </c>
      <c r="D11" t="s">
        <v>193</v>
      </c>
      <c r="E11" s="43" t="b">
        <v>0</v>
      </c>
    </row>
    <row r="12" spans="1:5">
      <c r="A12" s="3" t="s">
        <v>194</v>
      </c>
      <c r="B12">
        <v>3000</v>
      </c>
      <c r="C12" s="3" t="s">
        <v>191</v>
      </c>
      <c r="D12" s="3" t="s">
        <v>195</v>
      </c>
      <c r="E12" s="43" t="b">
        <v>1</v>
      </c>
    </row>
    <row r="13" spans="1:5">
      <c r="A13" s="3" t="s">
        <v>196</v>
      </c>
      <c r="B13" s="3">
        <v>125</v>
      </c>
      <c r="C13" s="3" t="s">
        <v>191</v>
      </c>
      <c r="D13" s="5" t="s">
        <v>197</v>
      </c>
      <c r="E13" s="43" t="b">
        <v>1</v>
      </c>
    </row>
    <row r="14" spans="1:5">
      <c r="A14" s="3"/>
      <c r="B14" s="3"/>
      <c r="C14" s="3"/>
      <c r="D14" s="5"/>
      <c r="E14" s="43" t="b">
        <v>0</v>
      </c>
    </row>
    <row r="15" spans="1:5">
      <c r="A15" s="3"/>
      <c r="B15" s="3"/>
      <c r="C15" s="3"/>
      <c r="D15" s="5"/>
      <c r="E15" s="43" t="b">
        <v>0</v>
      </c>
    </row>
    <row r="16" spans="1:5">
      <c r="A16" s="3" t="s">
        <v>198</v>
      </c>
      <c r="B16" t="s">
        <v>199</v>
      </c>
      <c r="C16" s="3" t="s">
        <v>200</v>
      </c>
      <c r="D16" s="5"/>
      <c r="E16" s="43" t="b">
        <v>1</v>
      </c>
    </row>
    <row r="17" spans="1:5">
      <c r="A17" s="3" t="s">
        <v>201</v>
      </c>
      <c r="B17" t="s">
        <v>199</v>
      </c>
      <c r="C17" s="3" t="s">
        <v>200</v>
      </c>
      <c r="D17" s="5"/>
      <c r="E17" s="43" t="b">
        <v>1</v>
      </c>
    </row>
    <row r="18" spans="1:5">
      <c r="A18" s="3" t="s">
        <v>202</v>
      </c>
      <c r="B18" s="3" t="s">
        <v>169</v>
      </c>
      <c r="C18" s="3" t="s">
        <v>200</v>
      </c>
      <c r="D18" s="5"/>
      <c r="E18" s="43" t="b">
        <v>1</v>
      </c>
    </row>
    <row r="19" spans="1:5">
      <c r="A19" s="3" t="s">
        <v>203</v>
      </c>
      <c r="B19" s="3" t="s">
        <v>204</v>
      </c>
      <c r="C19" s="3" t="s">
        <v>200</v>
      </c>
      <c r="D19" s="23"/>
      <c r="E19" s="43" t="b">
        <v>1</v>
      </c>
    </row>
    <row r="20" spans="1:5">
      <c r="A20" t="s">
        <v>205</v>
      </c>
      <c r="B20" t="s">
        <v>206</v>
      </c>
      <c r="D20" s="5"/>
      <c r="E20" s="43" t="b">
        <v>0</v>
      </c>
    </row>
    <row r="21" spans="1:5">
      <c r="D21" s="5"/>
      <c r="E21" s="43" t="b">
        <v>0</v>
      </c>
    </row>
    <row r="22" spans="1:5">
      <c r="A22" t="s">
        <v>207</v>
      </c>
      <c r="B22" t="s">
        <v>208</v>
      </c>
      <c r="C22" s="3" t="s">
        <v>209</v>
      </c>
      <c r="D22" s="5"/>
      <c r="E22" s="43" t="b">
        <v>1</v>
      </c>
    </row>
    <row r="23" spans="1:5">
      <c r="A23" s="3"/>
      <c r="B23" s="3"/>
      <c r="C23" s="3"/>
      <c r="D23" s="5"/>
      <c r="E23" s="43" t="b">
        <v>0</v>
      </c>
    </row>
    <row r="24" spans="1:5">
      <c r="A24" s="3"/>
      <c r="B24" s="3"/>
      <c r="C24" s="3"/>
      <c r="D24" s="5"/>
      <c r="E24" s="43" t="b">
        <v>0</v>
      </c>
    </row>
    <row r="25" spans="1:5">
      <c r="A25" s="3"/>
      <c r="B25" s="3"/>
      <c r="C25" s="3"/>
      <c r="D25" s="5"/>
      <c r="E25" s="43" t="b">
        <v>0</v>
      </c>
    </row>
    <row r="26" spans="1:5">
      <c r="A26" s="6" t="s">
        <v>210</v>
      </c>
      <c r="B26" s="6" t="s">
        <v>10</v>
      </c>
      <c r="D26" s="5"/>
      <c r="E26" s="43" t="b">
        <v>0</v>
      </c>
    </row>
    <row r="27" spans="1:5" ht="58">
      <c r="A27" t="s">
        <v>211</v>
      </c>
      <c r="B27" t="s">
        <v>212</v>
      </c>
      <c r="D27" s="5" t="s">
        <v>213</v>
      </c>
      <c r="E27" s="43" t="b">
        <v>0</v>
      </c>
    </row>
    <row r="28" spans="1:5">
      <c r="A28" t="s">
        <v>214</v>
      </c>
      <c r="B28" t="s">
        <v>215</v>
      </c>
      <c r="D28" s="5"/>
      <c r="E28" s="43" t="b">
        <v>0</v>
      </c>
    </row>
    <row r="29" spans="1:5">
      <c r="A29" t="s">
        <v>216</v>
      </c>
      <c r="D29" s="5"/>
      <c r="E29" s="43" t="b">
        <v>1</v>
      </c>
    </row>
    <row r="30" spans="1:5">
      <c r="D30" s="5"/>
      <c r="E30" s="43" t="b">
        <v>0</v>
      </c>
    </row>
    <row r="31" spans="1:5">
      <c r="A31" s="1" t="s">
        <v>217</v>
      </c>
      <c r="B31" s="7"/>
      <c r="C31" s="3"/>
      <c r="D31" s="5"/>
      <c r="E31" s="43" t="b">
        <v>0</v>
      </c>
    </row>
    <row r="32" spans="1:5">
      <c r="A32" s="3" t="s">
        <v>218</v>
      </c>
      <c r="B32" s="3"/>
      <c r="C32" s="3"/>
      <c r="E32" s="43" t="b">
        <v>0</v>
      </c>
    </row>
    <row r="33" spans="1:5">
      <c r="A33" t="s">
        <v>219</v>
      </c>
      <c r="E33" s="43" t="b">
        <v>0</v>
      </c>
    </row>
    <row r="34" spans="1:5">
      <c r="A34" s="3" t="s">
        <v>220</v>
      </c>
      <c r="E34" s="43" t="b">
        <v>0</v>
      </c>
    </row>
    <row r="35" spans="1:5">
      <c r="A35" t="s">
        <v>221</v>
      </c>
      <c r="E35" s="43" t="b">
        <v>0</v>
      </c>
    </row>
    <row r="36" spans="1:5">
      <c r="A36" s="3" t="s">
        <v>222</v>
      </c>
      <c r="E36" s="43" t="b">
        <v>0</v>
      </c>
    </row>
    <row r="37" spans="1:5">
      <c r="A37" s="3" t="s">
        <v>223</v>
      </c>
      <c r="E37" s="43" t="b">
        <v>0</v>
      </c>
    </row>
    <row r="38" spans="1:5">
      <c r="A38" t="s">
        <v>211</v>
      </c>
      <c r="E38" s="43" t="b">
        <v>1</v>
      </c>
    </row>
    <row r="39" spans="1:5">
      <c r="A39" t="s">
        <v>224</v>
      </c>
      <c r="E39" s="43" t="b">
        <v>0</v>
      </c>
    </row>
    <row r="40" spans="1:5">
      <c r="E40" s="43" t="b">
        <v>0</v>
      </c>
    </row>
    <row r="41" spans="1:5">
      <c r="A41" s="9" t="s">
        <v>225</v>
      </c>
      <c r="B41" s="8"/>
      <c r="E41" s="43" t="b">
        <v>0</v>
      </c>
    </row>
    <row r="42" spans="1:5">
      <c r="A42" s="10" t="s">
        <v>226</v>
      </c>
      <c r="E42" s="43" t="b">
        <v>0</v>
      </c>
    </row>
    <row r="43" spans="1:5">
      <c r="A43" s="10" t="s">
        <v>227</v>
      </c>
      <c r="E43" s="43" t="b">
        <v>0</v>
      </c>
    </row>
    <row r="44" spans="1:5">
      <c r="A44" s="10" t="s">
        <v>228</v>
      </c>
      <c r="E44" s="43" t="b">
        <v>0</v>
      </c>
    </row>
    <row r="45" spans="1:5">
      <c r="A45" t="s">
        <v>229</v>
      </c>
      <c r="E45" s="43" t="b">
        <v>0</v>
      </c>
    </row>
    <row r="46" spans="1:5">
      <c r="A46" t="s">
        <v>230</v>
      </c>
      <c r="E46" s="43" t="b">
        <v>1</v>
      </c>
    </row>
  </sheetData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0EE17-437A-4083-BF1D-C4880A70050A}">
  <dimension ref="A1:C29"/>
  <sheetViews>
    <sheetView workbookViewId="0">
      <selection activeCell="B3" sqref="B3"/>
    </sheetView>
  </sheetViews>
  <sheetFormatPr defaultRowHeight="14.5"/>
  <cols>
    <col min="1" max="1" width="38.26953125" customWidth="1"/>
    <col min="2" max="2" width="36.7265625" customWidth="1"/>
    <col min="3" max="3" width="25.1796875" customWidth="1"/>
  </cols>
  <sheetData>
    <row r="1" spans="1:3">
      <c r="A1" s="32" t="s">
        <v>2</v>
      </c>
      <c r="B1" s="32" t="s">
        <v>165</v>
      </c>
      <c r="C1" s="32" t="s">
        <v>166</v>
      </c>
    </row>
    <row r="2" spans="1:3">
      <c r="A2" t="s">
        <v>2</v>
      </c>
      <c r="B2" t="s">
        <v>231</v>
      </c>
      <c r="C2" t="s">
        <v>232</v>
      </c>
    </row>
    <row r="3" spans="1:3">
      <c r="A3" t="s">
        <v>233</v>
      </c>
      <c r="C3" s="33" t="s">
        <v>234</v>
      </c>
    </row>
    <row r="4" spans="1:3">
      <c r="A4" t="s">
        <v>235</v>
      </c>
      <c r="B4" t="s">
        <v>236</v>
      </c>
      <c r="C4" s="33" t="s">
        <v>234</v>
      </c>
    </row>
    <row r="5" spans="1:3">
      <c r="A5" t="s">
        <v>237</v>
      </c>
      <c r="B5" t="s">
        <v>238</v>
      </c>
      <c r="C5" s="33" t="s">
        <v>239</v>
      </c>
    </row>
    <row r="6" spans="1:3">
      <c r="A6" t="s">
        <v>240</v>
      </c>
      <c r="B6">
        <v>2</v>
      </c>
      <c r="C6" t="s">
        <v>239</v>
      </c>
    </row>
    <row r="7" spans="1:3">
      <c r="A7" t="s">
        <v>241</v>
      </c>
      <c r="B7">
        <v>10</v>
      </c>
      <c r="C7" t="s">
        <v>239</v>
      </c>
    </row>
    <row r="8" spans="1:3">
      <c r="A8" t="s">
        <v>242</v>
      </c>
      <c r="B8">
        <v>2</v>
      </c>
      <c r="C8" t="s">
        <v>239</v>
      </c>
    </row>
    <row r="9" spans="1:3">
      <c r="A9" t="s">
        <v>243</v>
      </c>
      <c r="B9">
        <v>2</v>
      </c>
      <c r="C9" t="s">
        <v>239</v>
      </c>
    </row>
    <row r="10" spans="1:3">
      <c r="A10" t="s">
        <v>244</v>
      </c>
      <c r="B10">
        <v>2</v>
      </c>
      <c r="C10" t="s">
        <v>239</v>
      </c>
    </row>
    <row r="11" spans="1:3">
      <c r="A11" t="s">
        <v>245</v>
      </c>
      <c r="B11" t="s">
        <v>246</v>
      </c>
      <c r="C11" t="s">
        <v>247</v>
      </c>
    </row>
    <row r="12" spans="1:3">
      <c r="A12" t="s">
        <v>248</v>
      </c>
      <c r="B12" t="s">
        <v>246</v>
      </c>
      <c r="C12" t="s">
        <v>247</v>
      </c>
    </row>
    <row r="13" spans="1:3">
      <c r="A13" t="s">
        <v>249</v>
      </c>
      <c r="B13" t="s">
        <v>246</v>
      </c>
      <c r="C13" t="s">
        <v>247</v>
      </c>
    </row>
    <row r="14" spans="1:3">
      <c r="A14" t="s">
        <v>250</v>
      </c>
      <c r="B14" t="s">
        <v>246</v>
      </c>
      <c r="C14" t="s">
        <v>247</v>
      </c>
    </row>
    <row r="15" spans="1:3">
      <c r="A15" t="s">
        <v>251</v>
      </c>
      <c r="B15" t="s">
        <v>246</v>
      </c>
      <c r="C15" t="s">
        <v>247</v>
      </c>
    </row>
    <row r="16" spans="1:3">
      <c r="A16" t="s">
        <v>252</v>
      </c>
      <c r="B16" t="s">
        <v>253</v>
      </c>
      <c r="C16" t="s">
        <v>247</v>
      </c>
    </row>
    <row r="17" spans="1:3">
      <c r="A17" t="s">
        <v>254</v>
      </c>
      <c r="B17" t="s">
        <v>253</v>
      </c>
      <c r="C17" t="s">
        <v>247</v>
      </c>
    </row>
    <row r="18" spans="1:3">
      <c r="A18" t="s">
        <v>255</v>
      </c>
      <c r="B18" t="s">
        <v>253</v>
      </c>
      <c r="C18" t="s">
        <v>247</v>
      </c>
    </row>
    <row r="19" spans="1:3">
      <c r="A19" t="s">
        <v>256</v>
      </c>
      <c r="B19" t="s">
        <v>253</v>
      </c>
      <c r="C19" t="s">
        <v>247</v>
      </c>
    </row>
    <row r="20" spans="1:3">
      <c r="A20" t="s">
        <v>257</v>
      </c>
      <c r="B20" t="s">
        <v>253</v>
      </c>
      <c r="C20" t="s">
        <v>247</v>
      </c>
    </row>
    <row r="21" spans="1:3">
      <c r="A21" t="s">
        <v>258</v>
      </c>
      <c r="B21" s="19" t="s">
        <v>259</v>
      </c>
      <c r="C21" t="s">
        <v>260</v>
      </c>
    </row>
    <row r="22" spans="1:3">
      <c r="A22" t="s">
        <v>261</v>
      </c>
      <c r="B22" s="19" t="s">
        <v>262</v>
      </c>
      <c r="C22" t="s">
        <v>260</v>
      </c>
    </row>
    <row r="23" spans="1:3">
      <c r="A23" t="s">
        <v>263</v>
      </c>
      <c r="B23" t="s">
        <v>264</v>
      </c>
      <c r="C23" t="s">
        <v>260</v>
      </c>
    </row>
    <row r="24" spans="1:3">
      <c r="A24" t="s">
        <v>265</v>
      </c>
      <c r="B24" t="s">
        <v>266</v>
      </c>
      <c r="C24" t="s">
        <v>260</v>
      </c>
    </row>
    <row r="27" spans="1:3">
      <c r="A27" s="34" t="s">
        <v>267</v>
      </c>
    </row>
    <row r="28" spans="1:3">
      <c r="A28" t="s">
        <v>268</v>
      </c>
      <c r="B28" t="s">
        <v>269</v>
      </c>
    </row>
    <row r="29" spans="1:3">
      <c r="A29" t="s">
        <v>270</v>
      </c>
      <c r="B29" t="s">
        <v>271</v>
      </c>
    </row>
  </sheetData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BE73-D9CE-4F2C-B2D8-04BDC74E89CC}">
  <dimension ref="A1:B10"/>
  <sheetViews>
    <sheetView workbookViewId="0">
      <selection activeCell="B4" sqref="B4"/>
    </sheetView>
  </sheetViews>
  <sheetFormatPr defaultRowHeight="14.5"/>
  <cols>
    <col min="1" max="1" width="26.1796875" customWidth="1"/>
    <col min="2" max="2" width="38.54296875" customWidth="1"/>
  </cols>
  <sheetData>
    <row r="1" spans="1:2">
      <c r="A1" s="17" t="s">
        <v>272</v>
      </c>
    </row>
    <row r="2" spans="1:2">
      <c r="A2" s="17" t="s">
        <v>273</v>
      </c>
      <c r="B2" s="17" t="s">
        <v>274</v>
      </c>
    </row>
    <row r="3" spans="1:2">
      <c r="A3" t="s">
        <v>2</v>
      </c>
      <c r="B3" t="s">
        <v>275</v>
      </c>
    </row>
    <row r="4" spans="1:2">
      <c r="A4" t="s">
        <v>276</v>
      </c>
      <c r="B4" t="s">
        <v>277</v>
      </c>
    </row>
    <row r="6" spans="1:2">
      <c r="A6" s="34" t="s">
        <v>278</v>
      </c>
    </row>
    <row r="7" spans="1:2">
      <c r="A7" t="s">
        <v>2</v>
      </c>
      <c r="B7" s="37" t="s">
        <v>279</v>
      </c>
    </row>
    <row r="8" spans="1:2">
      <c r="A8" t="s">
        <v>280</v>
      </c>
      <c r="B8" t="s">
        <v>279</v>
      </c>
    </row>
    <row r="9" spans="1:2">
      <c r="A9" t="s">
        <v>281</v>
      </c>
      <c r="B9" s="19" t="s">
        <v>282</v>
      </c>
    </row>
    <row r="10" spans="1:2">
      <c r="A10" t="s">
        <v>283</v>
      </c>
      <c r="B10" t="s">
        <v>284</v>
      </c>
    </row>
  </sheetData>
  <hyperlinks>
    <hyperlink ref="B7" r:id="rId1" xr:uid="{FFCED8FD-EB70-4707-A17A-7D634E251DFB}"/>
  </hyperlinks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203CB-6AE7-4190-8BB2-E530FBE6C46F}">
  <dimension ref="A1:B56"/>
  <sheetViews>
    <sheetView topLeftCell="A11" workbookViewId="0">
      <selection activeCell="B16" sqref="B16"/>
    </sheetView>
  </sheetViews>
  <sheetFormatPr defaultRowHeight="14.5"/>
  <cols>
    <col min="1" max="1" width="28.26953125" customWidth="1"/>
    <col min="2" max="2" width="43.54296875" customWidth="1"/>
  </cols>
  <sheetData>
    <row r="1" spans="1:2">
      <c r="A1" s="11" t="s">
        <v>285</v>
      </c>
    </row>
    <row r="2" spans="1:2">
      <c r="A2" t="s">
        <v>286</v>
      </c>
    </row>
    <row r="4" spans="1:2">
      <c r="A4" s="11" t="s">
        <v>287</v>
      </c>
      <c r="B4" s="3"/>
    </row>
    <row r="5" spans="1:2">
      <c r="A5" s="13" t="s">
        <v>288</v>
      </c>
      <c r="B5" s="3"/>
    </row>
    <row r="6" spans="1:2">
      <c r="A6" s="3"/>
      <c r="B6" s="3"/>
    </row>
    <row r="7" spans="1:2">
      <c r="A7" s="11" t="s">
        <v>289</v>
      </c>
      <c r="B7" s="3"/>
    </row>
    <row r="8" spans="1:2">
      <c r="A8" s="13" t="s">
        <v>290</v>
      </c>
      <c r="B8" s="3"/>
    </row>
    <row r="9" spans="1:2">
      <c r="A9" s="3"/>
      <c r="B9" s="3"/>
    </row>
    <row r="10" spans="1:2">
      <c r="A10" s="3" t="s">
        <v>291</v>
      </c>
      <c r="B10" s="3"/>
    </row>
    <row r="11" spans="1:2">
      <c r="A11" s="3" t="s">
        <v>292</v>
      </c>
      <c r="B11" s="3"/>
    </row>
    <row r="12" spans="1:2">
      <c r="A12" s="3"/>
      <c r="B12" s="3"/>
    </row>
    <row r="13" spans="1:2">
      <c r="A13" s="3"/>
      <c r="B13" s="3"/>
    </row>
    <row r="14" spans="1:2">
      <c r="A14" s="11" t="s">
        <v>293</v>
      </c>
      <c r="B14" s="3"/>
    </row>
    <row r="15" spans="1:2">
      <c r="A15" s="3" t="s">
        <v>294</v>
      </c>
      <c r="B15" s="3" t="s">
        <v>295</v>
      </c>
    </row>
    <row r="16" spans="1:2">
      <c r="A16" s="3" t="s">
        <v>296</v>
      </c>
      <c r="B16" s="3" t="s">
        <v>297</v>
      </c>
    </row>
    <row r="17" spans="1:2">
      <c r="A17" s="3" t="s">
        <v>191</v>
      </c>
      <c r="B17" s="3" t="s">
        <v>298</v>
      </c>
    </row>
    <row r="18" spans="1:2">
      <c r="A18" s="3" t="s">
        <v>299</v>
      </c>
      <c r="B18" s="3" t="s">
        <v>300</v>
      </c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11" t="s">
        <v>301</v>
      </c>
      <c r="B22" s="3"/>
    </row>
    <row r="23" spans="1:2">
      <c r="A23" s="14" t="s">
        <v>302</v>
      </c>
      <c r="B23" s="3"/>
    </row>
    <row r="24" spans="1:2">
      <c r="A24" s="15" t="s">
        <v>303</v>
      </c>
      <c r="B24" s="3"/>
    </row>
    <row r="25" spans="1:2">
      <c r="A25" s="15" t="s">
        <v>304</v>
      </c>
      <c r="B25" s="3"/>
    </row>
    <row r="26" spans="1:2">
      <c r="A26" s="15" t="s">
        <v>305</v>
      </c>
      <c r="B26" s="3"/>
    </row>
    <row r="27" spans="1:2">
      <c r="A27" s="15" t="s">
        <v>306</v>
      </c>
      <c r="B27" s="3"/>
    </row>
    <row r="28" spans="1:2">
      <c r="A28" s="15" t="s">
        <v>307</v>
      </c>
      <c r="B28" s="3"/>
    </row>
    <row r="29" spans="1:2">
      <c r="A29" s="15" t="s">
        <v>308</v>
      </c>
      <c r="B29" s="3"/>
    </row>
    <row r="30" spans="1:2">
      <c r="A30" s="15" t="s">
        <v>309</v>
      </c>
      <c r="B30" s="3"/>
    </row>
    <row r="31" spans="1:2">
      <c r="A31" s="15" t="s">
        <v>310</v>
      </c>
      <c r="B31" s="3"/>
    </row>
    <row r="32" spans="1:2">
      <c r="A32" s="3"/>
      <c r="B32" s="3"/>
    </row>
    <row r="33" spans="1:2">
      <c r="A33" s="14" t="s">
        <v>311</v>
      </c>
      <c r="B33" s="3"/>
    </row>
    <row r="34" spans="1:2">
      <c r="A34" s="14" t="s">
        <v>312</v>
      </c>
      <c r="B34" s="3"/>
    </row>
    <row r="35" spans="1:2">
      <c r="A35" s="14" t="s">
        <v>313</v>
      </c>
      <c r="B35" s="3"/>
    </row>
    <row r="36" spans="1:2">
      <c r="A36" s="3"/>
      <c r="B36" s="3"/>
    </row>
    <row r="37" spans="1:2">
      <c r="A37" s="14"/>
      <c r="B37" s="3"/>
    </row>
    <row r="38" spans="1:2">
      <c r="A38" s="11" t="s">
        <v>314</v>
      </c>
      <c r="B38" s="3"/>
    </row>
    <row r="39" spans="1:2">
      <c r="A39" s="16" t="s">
        <v>315</v>
      </c>
      <c r="B39" s="3"/>
    </row>
    <row r="40" spans="1:2">
      <c r="A40" s="16" t="s">
        <v>316</v>
      </c>
      <c r="B40" s="3"/>
    </row>
    <row r="41" spans="1:2">
      <c r="A41" s="16" t="s">
        <v>317</v>
      </c>
      <c r="B41" s="3"/>
    </row>
    <row r="42" spans="1:2">
      <c r="A42" s="16" t="s">
        <v>318</v>
      </c>
      <c r="B42" s="3"/>
    </row>
    <row r="43" spans="1:2">
      <c r="A43" s="16" t="s">
        <v>319</v>
      </c>
      <c r="B43" s="3"/>
    </row>
    <row r="44" spans="1:2">
      <c r="A44" s="3"/>
      <c r="B44" s="3"/>
    </row>
    <row r="45" spans="1:2">
      <c r="A45" s="3"/>
      <c r="B45" s="3"/>
    </row>
    <row r="46" spans="1:2">
      <c r="A46" s="3"/>
      <c r="B46" s="3"/>
    </row>
    <row r="47" spans="1:2">
      <c r="A47" s="11" t="s">
        <v>320</v>
      </c>
      <c r="B47" s="3"/>
    </row>
    <row r="48" spans="1:2">
      <c r="A48" s="10" t="s">
        <v>321</v>
      </c>
      <c r="B48" s="3"/>
    </row>
    <row r="49" spans="1:2">
      <c r="A49" s="3"/>
      <c r="B49" s="3"/>
    </row>
    <row r="50" spans="1:2">
      <c r="A50" s="11" t="s">
        <v>322</v>
      </c>
      <c r="B50" s="3"/>
    </row>
    <row r="51" spans="1:2">
      <c r="A51" s="3" t="s">
        <v>323</v>
      </c>
      <c r="B51" s="3"/>
    </row>
    <row r="52" spans="1:2">
      <c r="A52" s="3" t="s">
        <v>324</v>
      </c>
      <c r="B52" s="3"/>
    </row>
    <row r="53" spans="1:2">
      <c r="A53" s="3" t="s">
        <v>325</v>
      </c>
      <c r="B53" s="3"/>
    </row>
    <row r="54" spans="1:2">
      <c r="A54" s="3" t="s">
        <v>326</v>
      </c>
      <c r="B54" s="3"/>
    </row>
    <row r="55" spans="1:2">
      <c r="A55" s="3" t="s">
        <v>327</v>
      </c>
      <c r="B55" s="3"/>
    </row>
    <row r="56" spans="1:2">
      <c r="A56" s="3" t="s">
        <v>328</v>
      </c>
      <c r="B56" s="3"/>
    </row>
  </sheetData>
  <hyperlinks>
    <hyperlink ref="A5" r:id="rId1" xr:uid="{98711369-BAB3-46F1-BC4A-0F5E05BFA6AF}"/>
    <hyperlink ref="A8" r:id="rId2" xr:uid="{7E417A93-E239-40A6-9E8F-5FC6C24F0244}"/>
  </hyperlinks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BF0A6-5D3D-4CC9-A044-E333E0EE021B}">
  <dimension ref="A1:D15"/>
  <sheetViews>
    <sheetView workbookViewId="0">
      <selection activeCell="D1" sqref="D1"/>
    </sheetView>
  </sheetViews>
  <sheetFormatPr defaultRowHeight="14.5"/>
  <cols>
    <col min="1" max="1" width="28.81640625" customWidth="1"/>
    <col min="2" max="2" width="38" customWidth="1"/>
    <col min="3" max="3" width="31.453125" customWidth="1"/>
    <col min="4" max="4" width="47.1796875" customWidth="1"/>
  </cols>
  <sheetData>
    <row r="1" spans="1:4">
      <c r="A1" s="11" t="s">
        <v>329</v>
      </c>
    </row>
    <row r="3" spans="1:4">
      <c r="A3" s="11" t="s">
        <v>2</v>
      </c>
      <c r="B3" s="11" t="s">
        <v>165</v>
      </c>
      <c r="C3" s="11" t="s">
        <v>166</v>
      </c>
      <c r="D3" s="11" t="s">
        <v>167</v>
      </c>
    </row>
    <row r="4" spans="1:4">
      <c r="A4" s="3" t="s">
        <v>330</v>
      </c>
      <c r="B4" s="3" t="s">
        <v>331</v>
      </c>
      <c r="C4" s="3" t="s">
        <v>5</v>
      </c>
    </row>
    <row r="5" spans="1:4">
      <c r="A5" s="3" t="s">
        <v>332</v>
      </c>
      <c r="B5" s="3" t="s">
        <v>333</v>
      </c>
      <c r="C5" s="3" t="s">
        <v>5</v>
      </c>
      <c r="D5" s="3"/>
    </row>
    <row r="6" spans="1:4">
      <c r="A6" s="3" t="s">
        <v>334</v>
      </c>
      <c r="B6" s="3" t="s">
        <v>335</v>
      </c>
      <c r="C6" s="3" t="s">
        <v>336</v>
      </c>
      <c r="D6" s="3"/>
    </row>
    <row r="7" spans="1:4">
      <c r="A7" s="3" t="s">
        <v>337</v>
      </c>
      <c r="B7" s="3" t="s">
        <v>338</v>
      </c>
      <c r="C7" s="3" t="s">
        <v>336</v>
      </c>
      <c r="D7" s="3"/>
    </row>
    <row r="8" spans="1:4">
      <c r="A8" s="3" t="s">
        <v>276</v>
      </c>
      <c r="B8" s="3" t="s">
        <v>339</v>
      </c>
      <c r="C8" s="3" t="s">
        <v>276</v>
      </c>
      <c r="D8" s="3"/>
    </row>
    <row r="9" spans="1:4">
      <c r="A9" s="3" t="s">
        <v>173</v>
      </c>
      <c r="B9" s="3" t="s">
        <v>246</v>
      </c>
      <c r="C9" s="3" t="s">
        <v>276</v>
      </c>
      <c r="D9" s="3" t="s">
        <v>340</v>
      </c>
    </row>
    <row r="10" spans="1:4">
      <c r="A10" s="3" t="s">
        <v>171</v>
      </c>
      <c r="B10" s="3">
        <v>7.2</v>
      </c>
      <c r="C10" s="3" t="s">
        <v>341</v>
      </c>
      <c r="D10" s="3"/>
    </row>
    <row r="11" spans="1:4">
      <c r="A11" t="s">
        <v>342</v>
      </c>
      <c r="B11" t="s">
        <v>343</v>
      </c>
      <c r="C11" s="3" t="s">
        <v>341</v>
      </c>
      <c r="D11" s="3"/>
    </row>
    <row r="12" spans="1:4">
      <c r="A12" s="3" t="s">
        <v>344</v>
      </c>
      <c r="B12" s="3">
        <v>2</v>
      </c>
      <c r="C12" s="3" t="s">
        <v>341</v>
      </c>
      <c r="D12" s="3"/>
    </row>
    <row r="13" spans="1:4">
      <c r="A13" t="s">
        <v>345</v>
      </c>
      <c r="B13" t="s">
        <v>346</v>
      </c>
      <c r="C13" t="s">
        <v>347</v>
      </c>
    </row>
    <row r="14" spans="1:4">
      <c r="A14" s="3" t="s">
        <v>348</v>
      </c>
      <c r="B14" s="3" t="s">
        <v>19</v>
      </c>
      <c r="C14" t="s">
        <v>347</v>
      </c>
      <c r="D14" s="3" t="s">
        <v>349</v>
      </c>
    </row>
    <row r="15" spans="1:4">
      <c r="A15" s="3"/>
      <c r="B15" s="3"/>
      <c r="C15" s="3"/>
      <c r="D15" s="3"/>
    </row>
  </sheetData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FEEFF-78FB-4A6F-89FB-9961088710F6}">
  <dimension ref="A1:D4"/>
  <sheetViews>
    <sheetView workbookViewId="0">
      <selection activeCell="B17" sqref="B17"/>
    </sheetView>
  </sheetViews>
  <sheetFormatPr defaultRowHeight="14.5"/>
  <cols>
    <col min="1" max="1" width="50.26953125" customWidth="1"/>
    <col min="2" max="2" width="45.26953125" customWidth="1"/>
    <col min="3" max="3" width="18.81640625" customWidth="1"/>
    <col min="4" max="4" width="65.26953125" customWidth="1"/>
  </cols>
  <sheetData>
    <row r="1" spans="1:4">
      <c r="A1" s="32" t="s">
        <v>2</v>
      </c>
      <c r="B1" s="32" t="s">
        <v>4</v>
      </c>
      <c r="C1" s="32" t="s">
        <v>10</v>
      </c>
      <c r="D1" s="32" t="s">
        <v>5</v>
      </c>
    </row>
    <row r="2" spans="1:4">
      <c r="A2" t="s">
        <v>350</v>
      </c>
      <c r="B2" t="s">
        <v>351</v>
      </c>
    </row>
    <row r="3" spans="1:4">
      <c r="A3" t="s">
        <v>352</v>
      </c>
      <c r="B3" t="s">
        <v>353</v>
      </c>
      <c r="C3" t="s">
        <v>354</v>
      </c>
    </row>
    <row r="4" spans="1:4">
      <c r="A4" t="s">
        <v>355</v>
      </c>
      <c r="B4" t="s">
        <v>356</v>
      </c>
      <c r="D4" t="s">
        <v>357</v>
      </c>
    </row>
  </sheetData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22943-D8C0-44B3-BE51-93ABA4E2F43E}">
  <dimension ref="A1:C22"/>
  <sheetViews>
    <sheetView workbookViewId="0"/>
  </sheetViews>
  <sheetFormatPr defaultRowHeight="14.5"/>
  <cols>
    <col min="1" max="1" width="39.26953125" customWidth="1"/>
    <col min="2" max="2" width="14.54296875" customWidth="1"/>
    <col min="3" max="3" width="38.7265625" customWidth="1"/>
  </cols>
  <sheetData>
    <row r="1" spans="1:3">
      <c r="A1" s="17" t="s">
        <v>358</v>
      </c>
    </row>
    <row r="2" spans="1:3">
      <c r="A2" s="18" t="s">
        <v>359</v>
      </c>
    </row>
    <row r="4" spans="1:3">
      <c r="A4" s="17" t="s">
        <v>360</v>
      </c>
    </row>
    <row r="5" spans="1:3">
      <c r="A5" t="s">
        <v>361</v>
      </c>
    </row>
    <row r="8" spans="1:3">
      <c r="A8" s="17" t="s">
        <v>362</v>
      </c>
    </row>
    <row r="9" spans="1:3">
      <c r="A9" t="s">
        <v>363</v>
      </c>
      <c r="B9">
        <v>3005</v>
      </c>
    </row>
    <row r="10" spans="1:3">
      <c r="A10" t="s">
        <v>364</v>
      </c>
    </row>
    <row r="11" spans="1:3">
      <c r="A11" t="s">
        <v>365</v>
      </c>
    </row>
    <row r="12" spans="1:3">
      <c r="A12" t="s">
        <v>366</v>
      </c>
    </row>
    <row r="13" spans="1:3">
      <c r="A13" t="s">
        <v>367</v>
      </c>
      <c r="B13" t="s">
        <v>368</v>
      </c>
    </row>
    <row r="14" spans="1:3">
      <c r="A14" t="s">
        <v>369</v>
      </c>
      <c r="C14" t="s">
        <v>370</v>
      </c>
    </row>
    <row r="15" spans="1:3">
      <c r="A15" t="s">
        <v>371</v>
      </c>
      <c r="C15" t="s">
        <v>372</v>
      </c>
    </row>
    <row r="16" spans="1:3">
      <c r="A16" t="s">
        <v>373</v>
      </c>
      <c r="C16" t="s">
        <v>374</v>
      </c>
    </row>
    <row r="17" spans="1:3">
      <c r="A17" t="s">
        <v>375</v>
      </c>
      <c r="C17" t="s">
        <v>374</v>
      </c>
    </row>
    <row r="18" spans="1:3">
      <c r="A18" t="s">
        <v>376</v>
      </c>
      <c r="B18" s="19" t="s">
        <v>377</v>
      </c>
    </row>
    <row r="19" spans="1:3">
      <c r="A19" t="s">
        <v>378</v>
      </c>
      <c r="B19" s="19" t="s">
        <v>379</v>
      </c>
    </row>
    <row r="22" spans="1:3">
      <c r="A22" t="s">
        <v>380</v>
      </c>
    </row>
  </sheetData>
  <hyperlinks>
    <hyperlink ref="A2" r:id="rId1" xr:uid="{D644BCF1-424A-41C0-B259-D3F08C6410DE}"/>
  </hyperlinks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F6C4E-ADBF-4092-BBF7-936A62951184}">
  <dimension ref="A1:D23"/>
  <sheetViews>
    <sheetView workbookViewId="0">
      <selection activeCell="B11" sqref="B11"/>
    </sheetView>
  </sheetViews>
  <sheetFormatPr defaultRowHeight="14.5"/>
  <cols>
    <col min="1" max="1" width="32.7265625" customWidth="1"/>
    <col min="2" max="2" width="38.54296875" customWidth="1"/>
    <col min="3" max="4" width="40.1796875" customWidth="1"/>
  </cols>
  <sheetData>
    <row r="1" spans="1:4">
      <c r="A1" s="11" t="s">
        <v>381</v>
      </c>
      <c r="B1" s="3"/>
      <c r="C1" s="3"/>
      <c r="D1" s="3"/>
    </row>
    <row r="2" spans="1:4">
      <c r="A2" s="3"/>
      <c r="B2" s="3"/>
      <c r="C2" s="3"/>
      <c r="D2" s="3"/>
    </row>
    <row r="3" spans="1:4">
      <c r="A3" s="11" t="s">
        <v>2</v>
      </c>
      <c r="B3" s="11" t="s">
        <v>165</v>
      </c>
      <c r="C3" s="11" t="s">
        <v>166</v>
      </c>
      <c r="D3" s="11" t="s">
        <v>167</v>
      </c>
    </row>
    <row r="4" spans="1:4">
      <c r="A4" s="3" t="s">
        <v>382</v>
      </c>
      <c r="B4" s="3" t="s">
        <v>383</v>
      </c>
      <c r="C4" s="3" t="s">
        <v>2</v>
      </c>
      <c r="D4" s="3"/>
    </row>
    <row r="5" spans="1:4">
      <c r="A5" s="3" t="s">
        <v>384</v>
      </c>
      <c r="B5" s="3" t="s">
        <v>385</v>
      </c>
      <c r="C5" s="3" t="s">
        <v>384</v>
      </c>
      <c r="D5" s="3"/>
    </row>
    <row r="6" spans="1:4">
      <c r="A6" s="3" t="s">
        <v>386</v>
      </c>
      <c r="B6" s="3" t="s">
        <v>387</v>
      </c>
      <c r="C6" s="3" t="s">
        <v>386</v>
      </c>
      <c r="D6" s="3"/>
    </row>
    <row r="7" spans="1:4">
      <c r="A7" s="3" t="s">
        <v>388</v>
      </c>
      <c r="B7" s="3" t="s">
        <v>389</v>
      </c>
      <c r="C7" s="3" t="s">
        <v>390</v>
      </c>
      <c r="D7" s="3"/>
    </row>
    <row r="8" spans="1:4">
      <c r="A8" s="3" t="s">
        <v>391</v>
      </c>
      <c r="B8" s="3">
        <v>1</v>
      </c>
      <c r="C8" s="3" t="s">
        <v>390</v>
      </c>
      <c r="D8" s="3" t="s">
        <v>392</v>
      </c>
    </row>
    <row r="9" spans="1:4">
      <c r="A9" s="3" t="s">
        <v>393</v>
      </c>
      <c r="B9" s="3">
        <v>3.2</v>
      </c>
      <c r="C9" s="3" t="s">
        <v>170</v>
      </c>
      <c r="D9" s="3"/>
    </row>
    <row r="10" spans="1:4">
      <c r="A10" s="3" t="s">
        <v>394</v>
      </c>
      <c r="B10" s="3" t="s">
        <v>395</v>
      </c>
      <c r="C10" s="3" t="s">
        <v>396</v>
      </c>
      <c r="D10" s="3"/>
    </row>
    <row r="11" spans="1:4">
      <c r="A11" s="3" t="s">
        <v>397</v>
      </c>
      <c r="B11" s="3" t="s">
        <v>398</v>
      </c>
      <c r="C11" s="3"/>
      <c r="D11" s="3"/>
    </row>
    <row r="12" spans="1:4">
      <c r="A12" s="3" t="s">
        <v>399</v>
      </c>
      <c r="B12" s="3">
        <v>1</v>
      </c>
      <c r="C12" s="3"/>
      <c r="D12" s="3"/>
    </row>
    <row r="13" spans="1:4">
      <c r="A13" s="3" t="s">
        <v>191</v>
      </c>
      <c r="B13" s="3" t="s">
        <v>400</v>
      </c>
      <c r="C13" s="3"/>
      <c r="D13" s="3"/>
    </row>
    <row r="14" spans="1:4">
      <c r="A14" s="3" t="s">
        <v>401</v>
      </c>
      <c r="B14" s="3" t="s">
        <v>402</v>
      </c>
      <c r="C14" s="3"/>
      <c r="D14" s="3"/>
    </row>
    <row r="15" spans="1:4">
      <c r="A15" s="3" t="s">
        <v>403</v>
      </c>
      <c r="B15" s="3" t="s">
        <v>404</v>
      </c>
      <c r="C15" s="3"/>
      <c r="D15" s="3"/>
    </row>
    <row r="16" spans="1:4">
      <c r="A16" s="61" t="s">
        <v>405</v>
      </c>
      <c r="B16" s="61" t="s">
        <v>406</v>
      </c>
      <c r="C16" s="61" t="s">
        <v>405</v>
      </c>
      <c r="D16" s="62" t="s">
        <v>407</v>
      </c>
    </row>
    <row r="17" spans="1:4">
      <c r="A17" s="61" t="s">
        <v>408</v>
      </c>
      <c r="B17" s="61" t="s">
        <v>409</v>
      </c>
      <c r="C17" s="61" t="s">
        <v>405</v>
      </c>
      <c r="D17" s="62" t="s">
        <v>407</v>
      </c>
    </row>
    <row r="18" spans="1:4">
      <c r="A18" s="61" t="s">
        <v>410</v>
      </c>
      <c r="B18" s="61" t="s">
        <v>411</v>
      </c>
      <c r="C18" s="61" t="s">
        <v>412</v>
      </c>
      <c r="D18" s="62" t="s">
        <v>413</v>
      </c>
    </row>
    <row r="19" spans="1:4">
      <c r="A19" s="61" t="s">
        <v>179</v>
      </c>
      <c r="B19" s="61" t="s">
        <v>414</v>
      </c>
      <c r="C19" s="61" t="s">
        <v>412</v>
      </c>
      <c r="D19" s="62" t="s">
        <v>407</v>
      </c>
    </row>
    <row r="20" spans="1:4">
      <c r="A20" s="61" t="s">
        <v>415</v>
      </c>
      <c r="B20" s="61" t="s">
        <v>416</v>
      </c>
      <c r="C20" s="61" t="s">
        <v>412</v>
      </c>
      <c r="D20" s="62" t="s">
        <v>407</v>
      </c>
    </row>
    <row r="21" spans="1:4">
      <c r="A21" s="61" t="s">
        <v>417</v>
      </c>
      <c r="B21" s="61" t="s">
        <v>416</v>
      </c>
      <c r="C21" s="61" t="s">
        <v>412</v>
      </c>
      <c r="D21" s="62" t="s">
        <v>407</v>
      </c>
    </row>
    <row r="22" spans="1:4">
      <c r="A22" s="63" t="s">
        <v>418</v>
      </c>
      <c r="B22" s="63" t="s">
        <v>419</v>
      </c>
      <c r="C22" s="63" t="s">
        <v>420</v>
      </c>
      <c r="D22" s="59"/>
    </row>
    <row r="23" spans="1:4">
      <c r="A23" s="60"/>
      <c r="B23" s="60"/>
      <c r="C23" s="60"/>
      <c r="D23" s="60"/>
    </row>
  </sheetData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8A74B-1D87-498B-8F5F-E0AA6110437A}">
  <dimension ref="A1:D10"/>
  <sheetViews>
    <sheetView workbookViewId="0">
      <selection activeCell="C17" sqref="C17"/>
    </sheetView>
  </sheetViews>
  <sheetFormatPr defaultRowHeight="14.5"/>
  <cols>
    <col min="1" max="1" width="28.81640625" customWidth="1"/>
    <col min="2" max="2" width="38" customWidth="1"/>
    <col min="3" max="3" width="31.453125" customWidth="1"/>
    <col min="4" max="4" width="47.1796875" customWidth="1"/>
  </cols>
  <sheetData>
    <row r="1" spans="1:4">
      <c r="A1" s="2" t="s">
        <v>421</v>
      </c>
    </row>
    <row r="3" spans="1:4">
      <c r="A3" s="2" t="s">
        <v>2</v>
      </c>
      <c r="B3" s="2" t="s">
        <v>165</v>
      </c>
      <c r="C3" s="2" t="s">
        <v>166</v>
      </c>
      <c r="D3" s="2" t="s">
        <v>167</v>
      </c>
    </row>
    <row r="4" spans="1:4">
      <c r="A4" s="3" t="s">
        <v>422</v>
      </c>
      <c r="B4" s="3" t="s">
        <v>423</v>
      </c>
      <c r="C4" s="3" t="s">
        <v>336</v>
      </c>
    </row>
    <row r="5" spans="1:4">
      <c r="A5" s="3" t="s">
        <v>424</v>
      </c>
      <c r="B5" s="3" t="s">
        <v>425</v>
      </c>
      <c r="C5" s="3" t="s">
        <v>336</v>
      </c>
      <c r="D5" s="3"/>
    </row>
    <row r="6" spans="1:4">
      <c r="A6" s="3" t="s">
        <v>426</v>
      </c>
      <c r="B6" s="3" t="s">
        <v>427</v>
      </c>
      <c r="C6" s="3" t="s">
        <v>428</v>
      </c>
      <c r="D6" s="3"/>
    </row>
    <row r="7" spans="1:4">
      <c r="A7" s="3" t="s">
        <v>429</v>
      </c>
      <c r="B7" s="18" t="s">
        <v>430</v>
      </c>
      <c r="C7" s="3" t="s">
        <v>5</v>
      </c>
      <c r="D7" s="3"/>
    </row>
    <row r="8" spans="1:4">
      <c r="A8" s="3" t="s">
        <v>431</v>
      </c>
      <c r="B8" s="3" t="s">
        <v>432</v>
      </c>
      <c r="C8" s="3" t="s">
        <v>5</v>
      </c>
      <c r="D8" s="3"/>
    </row>
    <row r="9" spans="1:4">
      <c r="A9" s="3" t="s">
        <v>433</v>
      </c>
      <c r="B9" s="18" t="s">
        <v>434</v>
      </c>
      <c r="C9" s="3" t="s">
        <v>5</v>
      </c>
      <c r="D9" s="3"/>
    </row>
    <row r="10" spans="1:4">
      <c r="A10" s="3"/>
      <c r="B10" s="3"/>
      <c r="C10" s="3"/>
      <c r="D10" s="3"/>
    </row>
  </sheetData>
  <hyperlinks>
    <hyperlink ref="B7" r:id="rId1" location="cluster-version-186" xr:uid="{9AF32514-A920-408E-86E1-A5E6B0D4B729}"/>
  </hyperlinks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FAE4-E18F-43F0-866C-79599FA9C619}">
  <dimension ref="A1:B34"/>
  <sheetViews>
    <sheetView topLeftCell="A21" workbookViewId="0">
      <selection activeCell="A8" sqref="A8"/>
    </sheetView>
  </sheetViews>
  <sheetFormatPr defaultRowHeight="14.5"/>
  <cols>
    <col min="1" max="1" width="45" customWidth="1"/>
    <col min="2" max="2" width="39.7265625" customWidth="1"/>
  </cols>
  <sheetData>
    <row r="1" spans="1:2">
      <c r="A1" s="24" t="s">
        <v>435</v>
      </c>
    </row>
    <row r="3" spans="1:2">
      <c r="A3" s="17" t="s">
        <v>2</v>
      </c>
      <c r="B3" s="12" t="s">
        <v>436</v>
      </c>
    </row>
    <row r="4" spans="1:2">
      <c r="A4" s="17" t="s">
        <v>3</v>
      </c>
      <c r="B4" t="s">
        <v>437</v>
      </c>
    </row>
    <row r="5" spans="1:2">
      <c r="A5" s="25" t="s">
        <v>438</v>
      </c>
      <c r="B5" t="s">
        <v>437</v>
      </c>
    </row>
    <row r="6" spans="1:2">
      <c r="A6" s="17" t="s">
        <v>439</v>
      </c>
      <c r="B6" s="12" t="s">
        <v>440</v>
      </c>
    </row>
    <row r="7" spans="1:2">
      <c r="A7" t="s">
        <v>441</v>
      </c>
    </row>
    <row r="9" spans="1:2">
      <c r="A9" s="26" t="s">
        <v>442</v>
      </c>
    </row>
    <row r="11" spans="1:2">
      <c r="A11" s="17" t="s">
        <v>2</v>
      </c>
      <c r="B11" s="12" t="s">
        <v>443</v>
      </c>
    </row>
    <row r="12" spans="1:2">
      <c r="A12" s="17" t="s">
        <v>444</v>
      </c>
    </row>
    <row r="13" spans="1:2">
      <c r="A13" t="s">
        <v>445</v>
      </c>
      <c r="B13" s="27" t="s">
        <v>446</v>
      </c>
    </row>
    <row r="14" spans="1:2">
      <c r="A14" t="s">
        <v>3</v>
      </c>
      <c r="B14" s="28" t="s">
        <v>447</v>
      </c>
    </row>
    <row r="15" spans="1:2">
      <c r="A15" t="s">
        <v>448</v>
      </c>
      <c r="B15" t="s">
        <v>435</v>
      </c>
    </row>
    <row r="16" spans="1:2">
      <c r="A16" t="s">
        <v>449</v>
      </c>
      <c r="B16" s="12" t="s">
        <v>443</v>
      </c>
    </row>
    <row r="19" spans="1:2">
      <c r="A19" t="s">
        <v>450</v>
      </c>
    </row>
    <row r="21" spans="1:2">
      <c r="A21" s="17" t="s">
        <v>451</v>
      </c>
      <c r="B21" t="s">
        <v>452</v>
      </c>
    </row>
    <row r="23" spans="1:2" ht="29">
      <c r="A23" s="12" t="s">
        <v>453</v>
      </c>
    </row>
    <row r="26" spans="1:2">
      <c r="A26" s="29" t="s">
        <v>454</v>
      </c>
    </row>
    <row r="27" spans="1:2">
      <c r="A27" s="30" t="s">
        <v>455</v>
      </c>
    </row>
    <row r="28" spans="1:2">
      <c r="A28" s="30" t="s">
        <v>456</v>
      </c>
    </row>
    <row r="29" spans="1:2">
      <c r="A29" s="30" t="s">
        <v>457</v>
      </c>
    </row>
    <row r="30" spans="1:2">
      <c r="A30" s="30" t="s">
        <v>458</v>
      </c>
    </row>
    <row r="31" spans="1:2">
      <c r="A31" s="30" t="s">
        <v>459</v>
      </c>
    </row>
    <row r="32" spans="1:2">
      <c r="A32" s="30" t="s">
        <v>460</v>
      </c>
    </row>
    <row r="33" spans="1:1">
      <c r="A33" s="30" t="s">
        <v>461</v>
      </c>
    </row>
    <row r="34" spans="1:1">
      <c r="A34" s="30" t="s">
        <v>462</v>
      </c>
    </row>
  </sheetData>
  <hyperlinks>
    <hyperlink ref="B13" r:id="rId1" xr:uid="{5A7CCC53-EC1B-4EC4-94C9-AB5963220BB2}"/>
  </hyperlinks>
  <pageMargins left="0.7" right="0.7" top="0.75" bottom="0.75" header="0.3" footer="0.3"/>
  <headerFooter>
    <oddFooter>&amp;C_x000D_&amp;1#&amp;"Aptos"&amp;10&amp;K000000 Document Contains Trinity Confidential Information</oddFooter>
  </headerFooter>
</worksheet>
</file>

<file path=docMetadata/LabelInfo.xml><?xml version="1.0" encoding="utf-8"?>
<clbl:labelList xmlns:clbl="http://schemas.microsoft.com/office/2020/mipLabelMetadata">
  <clbl:label id="{3a199737-ca14-4948-9c49-5907e92005d9}" enabled="1" method="Privileged" siteId="{c88fe011-1411-4e3a-a2cf-3859b305642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CallPlanner + RBD-DM Overview</vt:lpstr>
      <vt:lpstr>Management App</vt:lpstr>
      <vt:lpstr>Postgres Database (RDS)</vt:lpstr>
      <vt:lpstr>Airflow</vt:lpstr>
      <vt:lpstr>OpenAI</vt:lpstr>
      <vt:lpstr>Sentry</vt:lpstr>
      <vt:lpstr>Redis Server (ElastiCache)</vt:lpstr>
      <vt:lpstr>S3</vt:lpstr>
      <vt:lpstr>Langfuse</vt:lpstr>
      <vt:lpstr>OpenSearch cluster</vt:lpstr>
      <vt:lpstr>Redshift Serverless</vt:lpstr>
      <vt:lpstr>Location Services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Albert Schweitzer</dc:creator>
  <cp:keywords/>
  <dc:description/>
  <cp:lastModifiedBy>Jayaprakash Loganathan</cp:lastModifiedBy>
  <cp:revision/>
  <dcterms:created xsi:type="dcterms:W3CDTF">2025-09-24T13:09:48Z</dcterms:created>
  <dcterms:modified xsi:type="dcterms:W3CDTF">2025-10-16T10:24:27Z</dcterms:modified>
  <cp:category/>
  <cp:contentStatus/>
</cp:coreProperties>
</file>