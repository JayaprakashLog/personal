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 Folders\Work\J&amp;J\"/>
    </mc:Choice>
  </mc:AlternateContent>
  <xr:revisionPtr revIDLastSave="0" documentId="8_{C750601F-55C1-4F34-9E23-1BD348B976A3}" xr6:coauthVersionLast="47" xr6:coauthVersionMax="47" xr10:uidLastSave="{00000000-0000-0000-0000-000000000000}"/>
  <bookViews>
    <workbookView xWindow="-110" yWindow="-110" windowWidth="19420" windowHeight="11500" xr2:uid="{5660372B-704D-491B-A007-E7023713657B}"/>
  </bookViews>
  <sheets>
    <sheet name="ABS_OCE_Milestone" sheetId="1" r:id="rId1"/>
    <sheet name="Resource Loading" sheetId="3" r:id="rId2"/>
    <sheet name="Kishore (OCE Costs)" sheetId="4" r:id="rId3"/>
    <sheet name="Kishore (ABS Cost)" sheetId="5" r:id="rId4"/>
    <sheet name="Suggested (Combined)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C14" i="6"/>
  <c r="C41" i="6"/>
  <c r="C40" i="6"/>
  <c r="C39" i="6"/>
  <c r="C38" i="6"/>
  <c r="C37" i="6"/>
  <c r="C36" i="6"/>
  <c r="C35" i="6"/>
  <c r="F34" i="6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F33" i="6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C27" i="6"/>
  <c r="C10" i="6"/>
  <c r="C12" i="6"/>
  <c r="C11" i="6"/>
  <c r="C9" i="6"/>
  <c r="C8" i="6"/>
  <c r="C7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F5" i="6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C26" i="6"/>
  <c r="C25" i="6"/>
  <c r="C24" i="6"/>
  <c r="C23" i="6"/>
  <c r="C22" i="6"/>
  <c r="F20" i="6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F19" i="6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U5" i="5"/>
  <c r="U4" i="5"/>
  <c r="F5" i="5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F4" i="5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C22" i="4"/>
  <c r="D22" i="4"/>
  <c r="E22" i="4"/>
  <c r="F22" i="4"/>
  <c r="T22" i="4" s="1"/>
  <c r="G22" i="4"/>
  <c r="H22" i="4"/>
  <c r="I22" i="4"/>
  <c r="J22" i="4"/>
  <c r="K22" i="4"/>
  <c r="L22" i="4"/>
  <c r="M22" i="4"/>
  <c r="N22" i="4"/>
  <c r="O22" i="4"/>
  <c r="P22" i="4"/>
  <c r="Q22" i="4"/>
  <c r="R22" i="4"/>
  <c r="C23" i="4"/>
  <c r="D23" i="4"/>
  <c r="E23" i="4"/>
  <c r="F23" i="4"/>
  <c r="T23" i="4" s="1"/>
  <c r="G23" i="4"/>
  <c r="H23" i="4"/>
  <c r="I23" i="4"/>
  <c r="J23" i="4"/>
  <c r="K23" i="4"/>
  <c r="L23" i="4"/>
  <c r="M23" i="4"/>
  <c r="N23" i="4"/>
  <c r="O23" i="4"/>
  <c r="P23" i="4"/>
  <c r="Q23" i="4"/>
  <c r="R23" i="4"/>
  <c r="C24" i="4"/>
  <c r="D24" i="4"/>
  <c r="E24" i="4"/>
  <c r="F24" i="4"/>
  <c r="T24" i="4" s="1"/>
  <c r="G24" i="4"/>
  <c r="H24" i="4"/>
  <c r="I24" i="4"/>
  <c r="J24" i="4"/>
  <c r="K24" i="4"/>
  <c r="L24" i="4"/>
  <c r="M24" i="4"/>
  <c r="N24" i="4"/>
  <c r="O24" i="4"/>
  <c r="P24" i="4"/>
  <c r="Q24" i="4"/>
  <c r="R24" i="4"/>
  <c r="C25" i="4"/>
  <c r="D25" i="4"/>
  <c r="E25" i="4"/>
  <c r="F25" i="4"/>
  <c r="G25" i="4"/>
  <c r="H25" i="4"/>
  <c r="I25" i="4"/>
  <c r="T25" i="4" s="1"/>
  <c r="J25" i="4"/>
  <c r="K25" i="4"/>
  <c r="L25" i="4"/>
  <c r="M25" i="4"/>
  <c r="N25" i="4"/>
  <c r="O25" i="4"/>
  <c r="P25" i="4"/>
  <c r="Q25" i="4"/>
  <c r="R25" i="4"/>
  <c r="C26" i="4"/>
  <c r="D26" i="4"/>
  <c r="E26" i="4"/>
  <c r="F26" i="4"/>
  <c r="G26" i="4"/>
  <c r="H26" i="4"/>
  <c r="I26" i="4"/>
  <c r="T26" i="4" s="1"/>
  <c r="J26" i="4"/>
  <c r="K26" i="4"/>
  <c r="L26" i="4"/>
  <c r="M26" i="4"/>
  <c r="N26" i="4"/>
  <c r="O26" i="4"/>
  <c r="P26" i="4"/>
  <c r="Q26" i="4"/>
  <c r="R26" i="4"/>
  <c r="C27" i="4"/>
  <c r="D27" i="4"/>
  <c r="E27" i="4"/>
  <c r="F27" i="4"/>
  <c r="G27" i="4"/>
  <c r="H27" i="4"/>
  <c r="I27" i="4"/>
  <c r="T27" i="4" s="1"/>
  <c r="J27" i="4"/>
  <c r="K27" i="4"/>
  <c r="L27" i="4"/>
  <c r="M27" i="4"/>
  <c r="N27" i="4"/>
  <c r="O27" i="4"/>
  <c r="P27" i="4"/>
  <c r="Q27" i="4"/>
  <c r="R27" i="4"/>
  <c r="C28" i="4"/>
  <c r="D28" i="4"/>
  <c r="E28" i="4"/>
  <c r="F28" i="4"/>
  <c r="G28" i="4"/>
  <c r="H28" i="4"/>
  <c r="I28" i="4"/>
  <c r="J28" i="4"/>
  <c r="T28" i="4" s="1"/>
  <c r="K28" i="4"/>
  <c r="L28" i="4"/>
  <c r="M28" i="4"/>
  <c r="N28" i="4"/>
  <c r="O28" i="4"/>
  <c r="P28" i="4"/>
  <c r="Q28" i="4"/>
  <c r="R28" i="4"/>
  <c r="C29" i="4"/>
  <c r="D29" i="4"/>
  <c r="E29" i="4"/>
  <c r="F29" i="4"/>
  <c r="G29" i="4"/>
  <c r="H29" i="4"/>
  <c r="I29" i="4"/>
  <c r="J29" i="4"/>
  <c r="K29" i="4"/>
  <c r="T29" i="4" s="1"/>
  <c r="L29" i="4"/>
  <c r="M29" i="4"/>
  <c r="N29" i="4"/>
  <c r="O29" i="4"/>
  <c r="P29" i="4"/>
  <c r="Q29" i="4"/>
  <c r="R29" i="4"/>
  <c r="C30" i="4"/>
  <c r="D30" i="4"/>
  <c r="E30" i="4"/>
  <c r="F30" i="4"/>
  <c r="G30" i="4"/>
  <c r="H30" i="4"/>
  <c r="I30" i="4"/>
  <c r="J30" i="4"/>
  <c r="K30" i="4"/>
  <c r="L30" i="4"/>
  <c r="T30" i="4" s="1"/>
  <c r="M30" i="4"/>
  <c r="N30" i="4"/>
  <c r="O30" i="4"/>
  <c r="P30" i="4"/>
  <c r="Q30" i="4"/>
  <c r="R30" i="4"/>
  <c r="C31" i="4"/>
  <c r="D31" i="4"/>
  <c r="E31" i="4"/>
  <c r="F31" i="4"/>
  <c r="G31" i="4"/>
  <c r="H31" i="4"/>
  <c r="I31" i="4"/>
  <c r="J31" i="4"/>
  <c r="K31" i="4"/>
  <c r="L31" i="4"/>
  <c r="M31" i="4"/>
  <c r="T31" i="4" s="1"/>
  <c r="N31" i="4"/>
  <c r="O31" i="4"/>
  <c r="P31" i="4"/>
  <c r="Q31" i="4"/>
  <c r="R31" i="4"/>
  <c r="C32" i="4"/>
  <c r="D32" i="4"/>
  <c r="E32" i="4"/>
  <c r="F32" i="4"/>
  <c r="G32" i="4"/>
  <c r="H32" i="4"/>
  <c r="I32" i="4"/>
  <c r="J32" i="4"/>
  <c r="K32" i="4"/>
  <c r="L32" i="4"/>
  <c r="M32" i="4"/>
  <c r="T32" i="4" s="1"/>
  <c r="N32" i="4"/>
  <c r="O32" i="4"/>
  <c r="P32" i="4"/>
  <c r="Q32" i="4"/>
  <c r="R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T33" i="4" s="1"/>
  <c r="P33" i="4"/>
  <c r="Q33" i="4"/>
  <c r="R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T34" i="4" s="1"/>
  <c r="Q34" i="4"/>
  <c r="R34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T21" i="4" s="1"/>
  <c r="R21" i="4"/>
  <c r="C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D2" i="4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F26" i="3"/>
  <c r="G26" i="3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F27" i="3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C15" i="6" l="1"/>
  <c r="C42" i="6"/>
  <c r="C21" i="6"/>
  <c r="C28" i="6" s="1"/>
  <c r="C20" i="5"/>
  <c r="T35" i="4"/>
  <c r="C3" i="6" l="1"/>
</calcChain>
</file>

<file path=xl/sharedStrings.xml><?xml version="1.0" encoding="utf-8"?>
<sst xmlns="http://schemas.openxmlformats.org/spreadsheetml/2006/main" count="232" uniqueCount="81">
  <si>
    <t>Milestone</t>
  </si>
  <si>
    <r>
      <rPr>
        <b/>
        <sz val="11"/>
        <color theme="1"/>
        <rFont val="Aptos Narrow"/>
        <family val="2"/>
        <scheme val="minor"/>
      </rPr>
      <t xml:space="preserve">Milestone 0 : </t>
    </r>
    <r>
      <rPr>
        <sz val="11"/>
        <color theme="1"/>
        <rFont val="Aptos Narrow"/>
        <family val="2"/>
        <scheme val="minor"/>
      </rPr>
      <t>Account Details , Smart Routing , Downloads , Query box ,  Related Questions, Citations</t>
    </r>
  </si>
  <si>
    <r>
      <rPr>
        <b/>
        <sz val="11"/>
        <color theme="1"/>
        <rFont val="Aptos Narrow"/>
        <family val="2"/>
        <scheme val="minor"/>
      </rPr>
      <t xml:space="preserve">Milestone 1 : </t>
    </r>
    <r>
      <rPr>
        <sz val="11"/>
        <color theme="1"/>
        <rFont val="Aptos Narrow"/>
        <family val="2"/>
        <scheme val="minor"/>
      </rPr>
      <t xml:space="preserve">Top KPI , Action on KPI , Top Accounts ,Account Search , Citations, follow up questions , Query Box.
</t>
    </r>
    <r>
      <rPr>
        <b/>
        <sz val="11"/>
        <color theme="1"/>
        <rFont val="Aptos Narrow"/>
        <family val="2"/>
        <scheme val="minor"/>
      </rPr>
      <t>QnA ABS : 5 Questions
QnA OCE: 5 Questions</t>
    </r>
  </si>
  <si>
    <r>
      <rPr>
        <b/>
        <sz val="11"/>
        <color theme="1"/>
        <rFont val="Aptos Narrow"/>
        <family val="2"/>
        <scheme val="minor"/>
      </rPr>
      <t xml:space="preserve">Milestone 2 ABS  Milestone </t>
    </r>
    <r>
      <rPr>
        <sz val="11"/>
        <color theme="1"/>
        <rFont val="Aptos Narrow"/>
        <family val="2"/>
        <scheme val="minor"/>
      </rPr>
      <t xml:space="preserve">: Parent Acc Details , Opnal Readiness ,AccPerformance
</t>
    </r>
    <r>
      <rPr>
        <b/>
        <sz val="11"/>
        <color theme="1"/>
        <rFont val="Aptos Narrow"/>
        <family val="2"/>
        <scheme val="minor"/>
      </rPr>
      <t>OCE  Milestone :</t>
    </r>
    <r>
      <rPr>
        <sz val="11"/>
        <color theme="1"/>
        <rFont val="Aptos Narrow"/>
        <family val="2"/>
        <scheme val="minor"/>
      </rPr>
      <t xml:space="preserve"> Alerts Journey 
</t>
    </r>
    <r>
      <rPr>
        <b/>
        <sz val="11"/>
        <color theme="1"/>
        <rFont val="Aptos Narrow"/>
        <family val="2"/>
        <scheme val="minor"/>
      </rPr>
      <t>QnA ABS: 2 Questions
QnA OCE: 2 Questions</t>
    </r>
  </si>
  <si>
    <r>
      <rPr>
        <b/>
        <sz val="11"/>
        <color theme="1"/>
        <rFont val="Aptos Narrow"/>
        <family val="2"/>
        <scheme val="minor"/>
      </rPr>
      <t xml:space="preserve">Milestone 3 </t>
    </r>
    <r>
      <rPr>
        <sz val="11"/>
        <color theme="1"/>
        <rFont val="Aptos Narrow"/>
        <family val="2"/>
        <scheme val="minor"/>
      </rPr>
      <t xml:space="preserve">: Territory Insights : Filtering , Sorting , Download table
</t>
    </r>
    <r>
      <rPr>
        <b/>
        <sz val="11"/>
        <color theme="1"/>
        <rFont val="Aptos Narrow"/>
        <family val="2"/>
        <scheme val="minor"/>
      </rPr>
      <t>QnA ABS: 2 Questions
QnA OCE: 2 Questions</t>
    </r>
  </si>
  <si>
    <r>
      <rPr>
        <b/>
        <sz val="11"/>
        <color theme="1"/>
        <rFont val="Aptos Narrow"/>
        <family val="2"/>
        <scheme val="minor"/>
      </rPr>
      <t xml:space="preserve">Milestone 4 </t>
    </r>
    <r>
      <rPr>
        <sz val="11"/>
        <color theme="1"/>
        <rFont val="Aptos Narrow"/>
        <family val="2"/>
        <scheme val="minor"/>
      </rPr>
      <t xml:space="preserve">: Account hierarchy 
</t>
    </r>
    <r>
      <rPr>
        <b/>
        <sz val="11"/>
        <color theme="1"/>
        <rFont val="Aptos Narrow"/>
        <family val="2"/>
        <scheme val="minor"/>
      </rPr>
      <t>QnA ABS: 3 Questions
QnA OCE: 2 Questions</t>
    </r>
  </si>
  <si>
    <t>Week starting</t>
  </si>
  <si>
    <t>ABS</t>
  </si>
  <si>
    <t>Tasks</t>
  </si>
  <si>
    <t>Team 1</t>
  </si>
  <si>
    <t>Home Screen</t>
  </si>
  <si>
    <t>Account Insights</t>
  </si>
  <si>
    <t>Territory Insights</t>
  </si>
  <si>
    <t>Suggested Questions</t>
  </si>
  <si>
    <t>Data Assessment and Data model designing</t>
  </si>
  <si>
    <t>ETL - Processed data creation</t>
  </si>
  <si>
    <t>Semantic Layer Development</t>
  </si>
  <si>
    <t>Gen Ai Layer Development</t>
  </si>
  <si>
    <t>Dev Environment - Data Migration</t>
  </si>
  <si>
    <t>QA Environment - Data Migration</t>
  </si>
  <si>
    <t>QA Deployment &amp; Testing</t>
  </si>
  <si>
    <t xml:space="preserve"> </t>
  </si>
  <si>
    <t>Home Office user feedback incorporation</t>
  </si>
  <si>
    <t>Resolve Vulnerability / Load Testing</t>
  </si>
  <si>
    <t>Prod Environment - Data Migration</t>
  </si>
  <si>
    <t>Prod deployment</t>
  </si>
  <si>
    <t>Beta testing</t>
  </si>
  <si>
    <t>National Launch</t>
  </si>
  <si>
    <t>OCE</t>
  </si>
  <si>
    <t>Team 2</t>
  </si>
  <si>
    <t>Name</t>
  </si>
  <si>
    <t>Skill</t>
  </si>
  <si>
    <t xml:space="preserve">Shivang </t>
  </si>
  <si>
    <t>Solution Owner</t>
  </si>
  <si>
    <t>Mohammad Shadan</t>
  </si>
  <si>
    <t xml:space="preserve">Front End 1 </t>
  </si>
  <si>
    <t>Mohammad Saif</t>
  </si>
  <si>
    <t>Front End 2</t>
  </si>
  <si>
    <t>Sunil Kumar</t>
  </si>
  <si>
    <t>Back End 1</t>
  </si>
  <si>
    <t>Vijet Hegde</t>
  </si>
  <si>
    <t>Back End 2</t>
  </si>
  <si>
    <t>Gen Ai 1</t>
  </si>
  <si>
    <t>Gen Ai 2</t>
  </si>
  <si>
    <t>Vinay</t>
  </si>
  <si>
    <t xml:space="preserve">Data Engineer 1 </t>
  </si>
  <si>
    <t>Lakshmikanth (0.5) + TBD (0.5)</t>
  </si>
  <si>
    <t>Data Engineer 2</t>
  </si>
  <si>
    <t>Shaik Khaja</t>
  </si>
  <si>
    <t xml:space="preserve">Dev Ops </t>
  </si>
  <si>
    <t>QA/BA</t>
  </si>
  <si>
    <t>Jayaprakash L</t>
  </si>
  <si>
    <t>PM/SM</t>
  </si>
  <si>
    <t xml:space="preserve">Kishore </t>
  </si>
  <si>
    <t>Tech Lead Offshore</t>
  </si>
  <si>
    <t>Subidya</t>
  </si>
  <si>
    <t>Tech Lead Onsite</t>
  </si>
  <si>
    <t>Samarth</t>
  </si>
  <si>
    <t>Sandeep Patil</t>
  </si>
  <si>
    <t>Pavan Padakki</t>
  </si>
  <si>
    <t>Beta Launch</t>
  </si>
  <si>
    <t>Cost</t>
  </si>
  <si>
    <t>-</t>
  </si>
  <si>
    <t>Apoorva/Akshat</t>
  </si>
  <si>
    <t>TOTAL COST</t>
  </si>
  <si>
    <t>Common Resources</t>
  </si>
  <si>
    <r>
      <rPr>
        <b/>
        <sz val="8"/>
        <color theme="1"/>
        <rFont val="Aptos Narrow"/>
        <family val="2"/>
        <scheme val="minor"/>
      </rPr>
      <t xml:space="preserve">Milestone 0 : </t>
    </r>
    <r>
      <rPr>
        <sz val="8"/>
        <color theme="1"/>
        <rFont val="Aptos Narrow"/>
        <family val="2"/>
        <scheme val="minor"/>
      </rPr>
      <t>Account Details , Smart Routing , Downloads , Query box ,  Related Questions, Citations</t>
    </r>
  </si>
  <si>
    <r>
      <rPr>
        <b/>
        <sz val="8"/>
        <color theme="1"/>
        <rFont val="Aptos Narrow"/>
        <family val="2"/>
        <scheme val="minor"/>
      </rPr>
      <t xml:space="preserve">Milestone 1 : </t>
    </r>
    <r>
      <rPr>
        <sz val="8"/>
        <color theme="1"/>
        <rFont val="Aptos Narrow"/>
        <family val="2"/>
        <scheme val="minor"/>
      </rPr>
      <t xml:space="preserve">Top KPI , Action on KPI , Top Accounts ,Account Search , Citations, follow up questions , Query Box.
</t>
    </r>
    <r>
      <rPr>
        <b/>
        <sz val="8"/>
        <color theme="1"/>
        <rFont val="Aptos Narrow"/>
        <family val="2"/>
        <scheme val="minor"/>
      </rPr>
      <t>QnA ABS : 5 Questions
QnA OCE: 5 Questions</t>
    </r>
  </si>
  <si>
    <r>
      <rPr>
        <b/>
        <sz val="8"/>
        <color theme="1"/>
        <rFont val="Aptos Narrow"/>
        <family val="2"/>
        <scheme val="minor"/>
      </rPr>
      <t xml:space="preserve">Milestone 2 ABS  Milestone </t>
    </r>
    <r>
      <rPr>
        <sz val="8"/>
        <color theme="1"/>
        <rFont val="Aptos Narrow"/>
        <family val="2"/>
        <scheme val="minor"/>
      </rPr>
      <t xml:space="preserve">: Parent Acc Details , Opnal Readiness ,AccPerformance
</t>
    </r>
    <r>
      <rPr>
        <b/>
        <sz val="8"/>
        <color theme="1"/>
        <rFont val="Aptos Narrow"/>
        <family val="2"/>
        <scheme val="minor"/>
      </rPr>
      <t>OCE  Milestone :</t>
    </r>
    <r>
      <rPr>
        <sz val="8"/>
        <color theme="1"/>
        <rFont val="Aptos Narrow"/>
        <family val="2"/>
        <scheme val="minor"/>
      </rPr>
      <t xml:space="preserve"> Alerts Journey 
</t>
    </r>
    <r>
      <rPr>
        <b/>
        <sz val="8"/>
        <color theme="1"/>
        <rFont val="Aptos Narrow"/>
        <family val="2"/>
        <scheme val="minor"/>
      </rPr>
      <t>QnA ABS: 2 Questions
QnA OCE: 2 Questions</t>
    </r>
  </si>
  <si>
    <r>
      <rPr>
        <b/>
        <sz val="8"/>
        <color theme="1"/>
        <rFont val="Aptos Narrow"/>
        <family val="2"/>
        <scheme val="minor"/>
      </rPr>
      <t xml:space="preserve">Milestone 3 </t>
    </r>
    <r>
      <rPr>
        <sz val="8"/>
        <color theme="1"/>
        <rFont val="Aptos Narrow"/>
        <family val="2"/>
        <scheme val="minor"/>
      </rPr>
      <t xml:space="preserve">: Territory Insights : Filtering , Sorting , Download table
</t>
    </r>
    <r>
      <rPr>
        <b/>
        <sz val="8"/>
        <color theme="1"/>
        <rFont val="Aptos Narrow"/>
        <family val="2"/>
        <scheme val="minor"/>
      </rPr>
      <t>QnA ABS: 2 Questions
QnA OCE: 2 Questions</t>
    </r>
  </si>
  <si>
    <r>
      <rPr>
        <b/>
        <sz val="8"/>
        <color theme="1"/>
        <rFont val="Aptos Narrow"/>
        <family val="2"/>
        <scheme val="minor"/>
      </rPr>
      <t xml:space="preserve">Milestone 4 </t>
    </r>
    <r>
      <rPr>
        <sz val="8"/>
        <color theme="1"/>
        <rFont val="Aptos Narrow"/>
        <family val="2"/>
        <scheme val="minor"/>
      </rPr>
      <t xml:space="preserve">: Account hierarchy 
</t>
    </r>
    <r>
      <rPr>
        <b/>
        <sz val="8"/>
        <color theme="1"/>
        <rFont val="Aptos Narrow"/>
        <family val="2"/>
        <scheme val="minor"/>
      </rPr>
      <t>QnA ABS: 3 Questions
QnA OCE: 2 Questions</t>
    </r>
  </si>
  <si>
    <t xml:space="preserve">Team Member </t>
  </si>
  <si>
    <t>Kishore</t>
  </si>
  <si>
    <t>Lakshmikanth</t>
  </si>
  <si>
    <t>Data Engineer 2.1</t>
  </si>
  <si>
    <t>Jayprakash</t>
  </si>
  <si>
    <t>Padmanabh/Apoorva/Akshat</t>
  </si>
  <si>
    <t>ABS Team</t>
  </si>
  <si>
    <t>TBD (0.5)</t>
  </si>
  <si>
    <t>Data Engineer 2.2</t>
  </si>
  <si>
    <t>OCE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</si>
</sst>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5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u/>
      <sz val="15"/>
      <color theme="3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9F2FB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1" xfId="0" applyFill="1" applyBorder="1"/>
    <xf numFmtId="0" fontId="1" fillId="5" borderId="2" xfId="0" applyFont="1" applyFill="1" applyBorder="1" applyAlignment="1">
      <alignment horizontal="center" wrapText="1"/>
    </xf>
    <xf numFmtId="16" fontId="0" fillId="0" borderId="3" xfId="0" applyNumberForma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0" borderId="6" xfId="0" applyBorder="1"/>
    <xf numFmtId="0" fontId="0" fillId="3" borderId="7" xfId="0" applyFill="1" applyBorder="1" applyAlignment="1">
      <alignment horizontal="center" wrapText="1"/>
    </xf>
    <xf numFmtId="0" fontId="0" fillId="0" borderId="8" xfId="0" applyBorder="1"/>
    <xf numFmtId="0" fontId="0" fillId="3" borderId="9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1" fillId="5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9" fontId="0" fillId="0" borderId="1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0" xfId="0" applyNumberFormat="1"/>
    <xf numFmtId="0" fontId="1" fillId="5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" fontId="3" fillId="0" borderId="1" xfId="1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164" fontId="0" fillId="3" borderId="11" xfId="0" applyNumberForma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16" fontId="0" fillId="8" borderId="3" xfId="0" applyNumberFormat="1" applyFill="1" applyBorder="1" applyAlignment="1">
      <alignment horizontal="center"/>
    </xf>
    <xf numFmtId="0" fontId="10" fillId="0" borderId="0" xfId="0" applyFont="1"/>
    <xf numFmtId="164" fontId="5" fillId="9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5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7</xdr:row>
      <xdr:rowOff>180975</xdr:rowOff>
    </xdr:from>
    <xdr:to>
      <xdr:col>8</xdr:col>
      <xdr:colOff>101023</xdr:colOff>
      <xdr:row>8</xdr:row>
      <xdr:rowOff>180975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2DEAA154-1358-4714-A724-9D91C30B8F1B}"/>
            </a:ext>
          </a:extLst>
        </xdr:cNvPr>
        <xdr:cNvSpPr/>
      </xdr:nvSpPr>
      <xdr:spPr>
        <a:xfrm>
          <a:off x="8667750" y="2724150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323850</xdr:colOff>
      <xdr:row>28</xdr:row>
      <xdr:rowOff>9525</xdr:rowOff>
    </xdr:from>
    <xdr:to>
      <xdr:col>10</xdr:col>
      <xdr:colOff>72448</xdr:colOff>
      <xdr:row>29</xdr:row>
      <xdr:rowOff>9525</xdr:rowOff>
    </xdr:to>
    <xdr:sp macro="" textlink="">
      <xdr:nvSpPr>
        <xdr:cNvPr id="5" name="Star: 5 Points 4">
          <a:extLst>
            <a:ext uri="{FF2B5EF4-FFF2-40B4-BE49-F238E27FC236}">
              <a16:creationId xmlns:a16="http://schemas.microsoft.com/office/drawing/2014/main" id="{AE637C1A-28EA-4077-A20E-BE55978A976C}"/>
            </a:ext>
          </a:extLst>
        </xdr:cNvPr>
        <xdr:cNvSpPr/>
      </xdr:nvSpPr>
      <xdr:spPr>
        <a:xfrm>
          <a:off x="8401050" y="4267200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361950</xdr:colOff>
      <xdr:row>29</xdr:row>
      <xdr:rowOff>0</xdr:rowOff>
    </xdr:from>
    <xdr:to>
      <xdr:col>8</xdr:col>
      <xdr:colOff>110548</xdr:colOff>
      <xdr:row>30</xdr:row>
      <xdr:rowOff>0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EBDE783E-033C-4FD1-8790-28570366E5B0}"/>
            </a:ext>
          </a:extLst>
        </xdr:cNvPr>
        <xdr:cNvSpPr/>
      </xdr:nvSpPr>
      <xdr:spPr>
        <a:xfrm>
          <a:off x="9344025" y="5534025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333375</xdr:colOff>
      <xdr:row>6</xdr:row>
      <xdr:rowOff>171450</xdr:rowOff>
    </xdr:from>
    <xdr:to>
      <xdr:col>10</xdr:col>
      <xdr:colOff>81973</xdr:colOff>
      <xdr:row>7</xdr:row>
      <xdr:rowOff>171450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72F1443B-DEA9-4651-90C8-BF60869F6228}"/>
            </a:ext>
          </a:extLst>
        </xdr:cNvPr>
        <xdr:cNvSpPr/>
      </xdr:nvSpPr>
      <xdr:spPr>
        <a:xfrm>
          <a:off x="8410575" y="2524125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390525</xdr:colOff>
      <xdr:row>27</xdr:row>
      <xdr:rowOff>180975</xdr:rowOff>
    </xdr:from>
    <xdr:to>
      <xdr:col>13</xdr:col>
      <xdr:colOff>101023</xdr:colOff>
      <xdr:row>28</xdr:row>
      <xdr:rowOff>180975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B2F540E0-534A-4D8A-9314-1E6B3D6F4B3B}"/>
            </a:ext>
          </a:extLst>
        </xdr:cNvPr>
        <xdr:cNvSpPr/>
      </xdr:nvSpPr>
      <xdr:spPr>
        <a:xfrm>
          <a:off x="9886950" y="4248150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371475</xdr:colOff>
      <xdr:row>6</xdr:row>
      <xdr:rowOff>180975</xdr:rowOff>
    </xdr:from>
    <xdr:to>
      <xdr:col>13</xdr:col>
      <xdr:colOff>81973</xdr:colOff>
      <xdr:row>7</xdr:row>
      <xdr:rowOff>180975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3A58F259-9ABD-411F-8BD3-F737A39A80A0}"/>
            </a:ext>
          </a:extLst>
        </xdr:cNvPr>
        <xdr:cNvSpPr/>
      </xdr:nvSpPr>
      <xdr:spPr>
        <a:xfrm>
          <a:off x="9867900" y="2533650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381000</xdr:colOff>
      <xdr:row>29</xdr:row>
      <xdr:rowOff>9525</xdr:rowOff>
    </xdr:from>
    <xdr:to>
      <xdr:col>11</xdr:col>
      <xdr:colOff>91498</xdr:colOff>
      <xdr:row>30</xdr:row>
      <xdr:rowOff>9525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24B44B21-4D12-4CFD-B2E6-0E82732B2B31}"/>
            </a:ext>
          </a:extLst>
        </xdr:cNvPr>
        <xdr:cNvSpPr/>
      </xdr:nvSpPr>
      <xdr:spPr>
        <a:xfrm>
          <a:off x="8905875" y="2743200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390525</xdr:colOff>
      <xdr:row>8</xdr:row>
      <xdr:rowOff>9525</xdr:rowOff>
    </xdr:from>
    <xdr:to>
      <xdr:col>11</xdr:col>
      <xdr:colOff>101023</xdr:colOff>
      <xdr:row>9</xdr:row>
      <xdr:rowOff>9525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383CA726-01E3-495D-8C9F-751E8023D394}"/>
            </a:ext>
          </a:extLst>
        </xdr:cNvPr>
        <xdr:cNvSpPr/>
      </xdr:nvSpPr>
      <xdr:spPr>
        <a:xfrm>
          <a:off x="10763250" y="3067050"/>
          <a:ext cx="196273" cy="190500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5</xdr:row>
      <xdr:rowOff>353</xdr:rowOff>
    </xdr:from>
    <xdr:to>
      <xdr:col>11</xdr:col>
      <xdr:colOff>114429</xdr:colOff>
      <xdr:row>6</xdr:row>
      <xdr:rowOff>10231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20F0AF75-250B-457A-829C-8B236BBEBE5B}"/>
            </a:ext>
          </a:extLst>
        </xdr:cNvPr>
        <xdr:cNvSpPr/>
      </xdr:nvSpPr>
      <xdr:spPr>
        <a:xfrm>
          <a:off x="8566150" y="1410053"/>
          <a:ext cx="216029" cy="194028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359128</xdr:colOff>
      <xdr:row>4</xdr:row>
      <xdr:rowOff>171450</xdr:rowOff>
    </xdr:from>
    <xdr:to>
      <xdr:col>9</xdr:col>
      <xdr:colOff>105256</xdr:colOff>
      <xdr:row>5</xdr:row>
      <xdr:rowOff>181328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D144792B-FC9E-48D3-B377-CEBD430C18D7}"/>
            </a:ext>
          </a:extLst>
        </xdr:cNvPr>
        <xdr:cNvSpPr/>
      </xdr:nvSpPr>
      <xdr:spPr>
        <a:xfrm>
          <a:off x="7617178" y="1397000"/>
          <a:ext cx="216028" cy="194028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338314</xdr:colOff>
      <xdr:row>4</xdr:row>
      <xdr:rowOff>174625</xdr:rowOff>
    </xdr:from>
    <xdr:to>
      <xdr:col>12</xdr:col>
      <xdr:colOff>122190</xdr:colOff>
      <xdr:row>6</xdr:row>
      <xdr:rowOff>353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8C59BFE7-A7C2-4A1D-9B95-B27C4EB8B89D}"/>
            </a:ext>
          </a:extLst>
        </xdr:cNvPr>
        <xdr:cNvSpPr/>
      </xdr:nvSpPr>
      <xdr:spPr>
        <a:xfrm>
          <a:off x="9006064" y="1400175"/>
          <a:ext cx="222026" cy="194028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407458</xdr:colOff>
      <xdr:row>4</xdr:row>
      <xdr:rowOff>181681</xdr:rowOff>
    </xdr:from>
    <xdr:to>
      <xdr:col>14</xdr:col>
      <xdr:colOff>121484</xdr:colOff>
      <xdr:row>6</xdr:row>
      <xdr:rowOff>7409</xdr:rowOff>
    </xdr:to>
    <xdr:sp macro="" textlink="">
      <xdr:nvSpPr>
        <xdr:cNvPr id="5" name="Star: 5 Points 4">
          <a:extLst>
            <a:ext uri="{FF2B5EF4-FFF2-40B4-BE49-F238E27FC236}">
              <a16:creationId xmlns:a16="http://schemas.microsoft.com/office/drawing/2014/main" id="{81985B29-871E-41C6-85ED-0B2C25C35849}"/>
            </a:ext>
          </a:extLst>
        </xdr:cNvPr>
        <xdr:cNvSpPr/>
      </xdr:nvSpPr>
      <xdr:spPr>
        <a:xfrm>
          <a:off x="10021358" y="1407231"/>
          <a:ext cx="222026" cy="194028"/>
        </a:xfrm>
        <a:prstGeom prst="star5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120650</xdr:colOff>
      <xdr:row>16</xdr:row>
      <xdr:rowOff>4401</xdr:rowOff>
    </xdr:from>
    <xdr:to>
      <xdr:col>15</xdr:col>
      <xdr:colOff>95250</xdr:colOff>
      <xdr:row>17</xdr:row>
      <xdr:rowOff>106642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88887D-F912-3314-07DB-35C6B46C9613}"/>
            </a:ext>
          </a:extLst>
        </xdr:cNvPr>
        <xdr:cNvSpPr txBox="1"/>
      </xdr:nvSpPr>
      <xdr:spPr>
        <a:xfrm>
          <a:off x="9741638" y="4250041"/>
          <a:ext cx="993554" cy="353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All development</a:t>
          </a:r>
          <a:r>
            <a:rPr lang="en-US" sz="800" b="1" baseline="0"/>
            <a:t> ends on 22 May</a:t>
          </a:r>
          <a:endParaRPr lang="en-US" sz="800" b="1"/>
        </a:p>
      </xdr:txBody>
    </xdr:sp>
    <xdr:clientData/>
  </xdr:twoCellAnchor>
  <xdr:twoCellAnchor>
    <xdr:from>
      <xdr:col>18</xdr:col>
      <xdr:colOff>31750</xdr:colOff>
      <xdr:row>16</xdr:row>
      <xdr:rowOff>4401</xdr:rowOff>
    </xdr:from>
    <xdr:to>
      <xdr:col>19</xdr:col>
      <xdr:colOff>101600</xdr:colOff>
      <xdr:row>17</xdr:row>
      <xdr:rowOff>106642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E7748E-9361-9C0F-35AA-38676BA9B3EF}"/>
            </a:ext>
          </a:extLst>
        </xdr:cNvPr>
        <xdr:cNvSpPr txBox="1"/>
      </xdr:nvSpPr>
      <xdr:spPr>
        <a:xfrm>
          <a:off x="11941692" y="4250041"/>
          <a:ext cx="542408" cy="35328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Beta </a:t>
          </a:r>
          <a:br>
            <a:rPr lang="en-US" sz="800" b="1"/>
          </a:br>
          <a:r>
            <a:rPr lang="en-US" sz="800" b="1"/>
            <a:t>Luanch</a:t>
          </a:r>
        </a:p>
      </xdr:txBody>
    </xdr:sp>
    <xdr:clientData/>
  </xdr:twoCellAnchor>
  <xdr:twoCellAnchor>
    <xdr:from>
      <xdr:col>20</xdr:col>
      <xdr:colOff>44450</xdr:colOff>
      <xdr:row>16</xdr:row>
      <xdr:rowOff>4401</xdr:rowOff>
    </xdr:from>
    <xdr:to>
      <xdr:col>21</xdr:col>
      <xdr:colOff>12700</xdr:colOff>
      <xdr:row>17</xdr:row>
      <xdr:rowOff>106642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1F042A-C417-1E31-F6E2-94954C31B002}"/>
            </a:ext>
          </a:extLst>
        </xdr:cNvPr>
        <xdr:cNvSpPr txBox="1"/>
      </xdr:nvSpPr>
      <xdr:spPr>
        <a:xfrm>
          <a:off x="12899508" y="4250041"/>
          <a:ext cx="581099" cy="35328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National</a:t>
          </a:r>
          <a:br>
            <a:rPr lang="en-US" sz="800" b="1"/>
          </a:br>
          <a:r>
            <a:rPr lang="en-US" sz="800" b="1"/>
            <a:t>Luanch</a:t>
          </a:r>
        </a:p>
      </xdr:txBody>
    </xdr:sp>
    <xdr:clientData/>
  </xdr:twoCellAnchor>
  <xdr:twoCellAnchor>
    <xdr:from>
      <xdr:col>14</xdr:col>
      <xdr:colOff>6942</xdr:colOff>
      <xdr:row>30</xdr:row>
      <xdr:rowOff>23895</xdr:rowOff>
    </xdr:from>
    <xdr:to>
      <xdr:col>15</xdr:col>
      <xdr:colOff>39873</xdr:colOff>
      <xdr:row>31</xdr:row>
      <xdr:rowOff>126135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C502AC-AD16-B0B5-B7F5-E01687887D44}"/>
            </a:ext>
          </a:extLst>
        </xdr:cNvPr>
        <xdr:cNvSpPr txBox="1"/>
      </xdr:nvSpPr>
      <xdr:spPr>
        <a:xfrm>
          <a:off x="10137407" y="6322209"/>
          <a:ext cx="542408" cy="35328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Beta </a:t>
          </a:r>
          <a:br>
            <a:rPr lang="en-US" sz="800" b="1"/>
          </a:br>
          <a:r>
            <a:rPr lang="en-US" sz="800" b="1"/>
            <a:t>Luanch</a:t>
          </a:r>
        </a:p>
      </xdr:txBody>
    </xdr:sp>
    <xdr:clientData/>
  </xdr:twoCellAnchor>
  <xdr:twoCellAnchor>
    <xdr:from>
      <xdr:col>17</xdr:col>
      <xdr:colOff>4873</xdr:colOff>
      <xdr:row>30</xdr:row>
      <xdr:rowOff>23895</xdr:rowOff>
    </xdr:from>
    <xdr:to>
      <xdr:col>18</xdr:col>
      <xdr:colOff>113414</xdr:colOff>
      <xdr:row>31</xdr:row>
      <xdr:rowOff>126135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341779-6156-F442-20C3-D4C4240DBCA2}"/>
            </a:ext>
          </a:extLst>
        </xdr:cNvPr>
        <xdr:cNvSpPr txBox="1"/>
      </xdr:nvSpPr>
      <xdr:spPr>
        <a:xfrm>
          <a:off x="11442257" y="6927674"/>
          <a:ext cx="581099" cy="35328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National</a:t>
          </a:r>
          <a:br>
            <a:rPr lang="en-US" sz="800" b="1"/>
          </a:br>
          <a:r>
            <a:rPr lang="en-US" sz="800" b="1"/>
            <a:t>Luanch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F43C-D9C5-48C7-ABE6-6C12F0993048}">
  <dimension ref="B3:V44"/>
  <sheetViews>
    <sheetView tabSelected="1" topLeftCell="A4" zoomScale="72" zoomScaleNormal="72" workbookViewId="0">
      <selection activeCell="U14" sqref="U14"/>
    </sheetView>
  </sheetViews>
  <sheetFormatPr defaultRowHeight="14.5" x14ac:dyDescent="0.35"/>
  <cols>
    <col min="2" max="2" width="7.26953125" bestFit="1" customWidth="1"/>
    <col min="3" max="3" width="57" style="5" customWidth="1"/>
    <col min="4" max="4" width="7.54296875" customWidth="1"/>
    <col min="5" max="5" width="7.81640625" customWidth="1"/>
    <col min="6" max="6" width="7.1796875" customWidth="1"/>
    <col min="7" max="8" width="6.7265625" customWidth="1"/>
    <col min="9" max="9" width="7.453125" customWidth="1"/>
    <col min="10" max="10" width="6.7265625" customWidth="1"/>
    <col min="11" max="14" width="7.26953125" bestFit="1" customWidth="1"/>
    <col min="15" max="19" width="6.7265625" customWidth="1"/>
  </cols>
  <sheetData>
    <row r="3" spans="2:19" ht="135.75" customHeight="1" x14ac:dyDescent="0.35">
      <c r="C3" s="22" t="s">
        <v>0</v>
      </c>
      <c r="D3" s="50" t="s">
        <v>1</v>
      </c>
      <c r="E3" s="50"/>
      <c r="F3" s="50"/>
      <c r="G3" s="50" t="s">
        <v>2</v>
      </c>
      <c r="H3" s="50"/>
      <c r="I3" s="50"/>
      <c r="J3" s="51" t="s">
        <v>3</v>
      </c>
      <c r="K3" s="51"/>
      <c r="L3" s="51"/>
      <c r="M3" s="51"/>
      <c r="N3" s="50" t="s">
        <v>4</v>
      </c>
      <c r="O3" s="50"/>
      <c r="P3" s="50"/>
      <c r="Q3" s="50" t="s">
        <v>5</v>
      </c>
      <c r="R3" s="50"/>
      <c r="S3" s="50"/>
    </row>
    <row r="4" spans="2:19" ht="15" thickBot="1" x14ac:dyDescent="0.4">
      <c r="D4" s="49" t="s">
        <v>6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2:19" x14ac:dyDescent="0.35">
      <c r="C5" s="11" t="s">
        <v>7</v>
      </c>
      <c r="D5" s="12">
        <v>46097</v>
      </c>
      <c r="E5" s="12">
        <f>D5+7</f>
        <v>46104</v>
      </c>
      <c r="F5" s="12">
        <f t="shared" ref="F5:S5" si="0">E5+7</f>
        <v>46111</v>
      </c>
      <c r="G5" s="12">
        <f t="shared" si="0"/>
        <v>46118</v>
      </c>
      <c r="H5" s="12">
        <f t="shared" si="0"/>
        <v>46125</v>
      </c>
      <c r="I5" s="12">
        <f t="shared" si="0"/>
        <v>46132</v>
      </c>
      <c r="J5" s="12">
        <f t="shared" si="0"/>
        <v>46139</v>
      </c>
      <c r="K5" s="12">
        <f t="shared" si="0"/>
        <v>46146</v>
      </c>
      <c r="L5" s="12">
        <f t="shared" si="0"/>
        <v>46153</v>
      </c>
      <c r="M5" s="12">
        <f t="shared" si="0"/>
        <v>46160</v>
      </c>
      <c r="N5" s="12">
        <f>M5+7</f>
        <v>46167</v>
      </c>
      <c r="O5" s="12">
        <f t="shared" si="0"/>
        <v>46174</v>
      </c>
      <c r="P5" s="12">
        <f t="shared" si="0"/>
        <v>46181</v>
      </c>
      <c r="Q5" s="12">
        <f t="shared" si="0"/>
        <v>46188</v>
      </c>
      <c r="R5" s="44">
        <f t="shared" si="0"/>
        <v>46195</v>
      </c>
      <c r="S5" s="13">
        <f t="shared" si="0"/>
        <v>46202</v>
      </c>
    </row>
    <row r="6" spans="2:19" ht="15" customHeight="1" x14ac:dyDescent="0.35">
      <c r="C6" s="14" t="s">
        <v>8</v>
      </c>
      <c r="D6" s="2">
        <v>1</v>
      </c>
      <c r="E6" s="2">
        <f>D6+1</f>
        <v>2</v>
      </c>
      <c r="F6" s="2">
        <f t="shared" ref="F6:M6" si="1">E6+1</f>
        <v>3</v>
      </c>
      <c r="G6" s="2">
        <f t="shared" si="1"/>
        <v>4</v>
      </c>
      <c r="H6" s="2">
        <f t="shared" si="1"/>
        <v>5</v>
      </c>
      <c r="I6" s="2">
        <f t="shared" si="1"/>
        <v>6</v>
      </c>
      <c r="J6" s="2">
        <f t="shared" si="1"/>
        <v>7</v>
      </c>
      <c r="K6" s="2">
        <f t="shared" si="1"/>
        <v>8</v>
      </c>
      <c r="L6" s="2">
        <f t="shared" si="1"/>
        <v>9</v>
      </c>
      <c r="M6" s="2">
        <f t="shared" si="1"/>
        <v>10</v>
      </c>
      <c r="N6" s="2">
        <f>M6+1</f>
        <v>11</v>
      </c>
      <c r="O6" s="2">
        <f t="shared" ref="O6:S6" si="2">N6+1</f>
        <v>12</v>
      </c>
      <c r="P6" s="2">
        <f t="shared" si="2"/>
        <v>13</v>
      </c>
      <c r="Q6" s="2">
        <f t="shared" si="2"/>
        <v>14</v>
      </c>
      <c r="R6" s="2">
        <f t="shared" si="2"/>
        <v>15</v>
      </c>
      <c r="S6" s="15">
        <f t="shared" si="2"/>
        <v>16</v>
      </c>
    </row>
    <row r="7" spans="2:19" ht="15" customHeight="1" x14ac:dyDescent="0.35">
      <c r="B7" s="25" t="s">
        <v>9</v>
      </c>
      <c r="C7" s="14" t="s">
        <v>10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5"/>
    </row>
    <row r="8" spans="2:19" ht="15" customHeight="1" x14ac:dyDescent="0.35">
      <c r="C8" s="16" t="s">
        <v>11</v>
      </c>
      <c r="D8" s="3"/>
      <c r="E8" s="3"/>
      <c r="F8" s="3"/>
      <c r="G8" s="2"/>
      <c r="H8" s="2"/>
      <c r="I8" s="4"/>
      <c r="J8" s="4"/>
      <c r="K8" s="2"/>
      <c r="L8" s="3"/>
      <c r="M8" s="3"/>
      <c r="N8" s="2"/>
      <c r="O8" s="2"/>
      <c r="P8" s="2"/>
      <c r="Q8" s="2"/>
      <c r="R8" s="2"/>
      <c r="S8" s="15"/>
    </row>
    <row r="9" spans="2:19" ht="15" customHeight="1" x14ac:dyDescent="0.35">
      <c r="B9" s="25" t="s">
        <v>9</v>
      </c>
      <c r="C9" s="16" t="s">
        <v>12</v>
      </c>
      <c r="D9" s="2"/>
      <c r="E9" s="3"/>
      <c r="F9" s="3"/>
      <c r="G9" s="3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15"/>
    </row>
    <row r="10" spans="2:19" ht="15" customHeight="1" x14ac:dyDescent="0.35">
      <c r="C10" s="16" t="s">
        <v>13</v>
      </c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</row>
    <row r="11" spans="2:19" ht="15" customHeight="1" x14ac:dyDescent="0.35">
      <c r="C11" s="17" t="s">
        <v>14</v>
      </c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5"/>
    </row>
    <row r="12" spans="2:19" ht="15" customHeight="1" x14ac:dyDescent="0.35">
      <c r="C12" s="17" t="s">
        <v>15</v>
      </c>
      <c r="D12" s="3"/>
      <c r="E12" s="3"/>
      <c r="F12" s="3"/>
      <c r="G12" s="1"/>
      <c r="H12" s="1"/>
      <c r="I12" s="3"/>
      <c r="J12" s="3"/>
      <c r="K12" s="3"/>
      <c r="L12" s="1"/>
      <c r="M12" s="1"/>
      <c r="N12" s="1"/>
      <c r="O12" s="1"/>
      <c r="P12" s="1"/>
      <c r="Q12" s="1"/>
      <c r="R12" s="1"/>
      <c r="S12" s="15"/>
    </row>
    <row r="13" spans="2:19" ht="15" customHeight="1" x14ac:dyDescent="0.35">
      <c r="C13" s="17" t="s">
        <v>16</v>
      </c>
      <c r="D13" s="1"/>
      <c r="E13" s="3"/>
      <c r="F13" s="3"/>
      <c r="G13" s="3"/>
      <c r="H13" s="1"/>
      <c r="I13" s="1"/>
      <c r="J13" s="3"/>
      <c r="K13" s="3"/>
      <c r="L13" s="3"/>
      <c r="M13" s="1"/>
      <c r="N13" s="1"/>
      <c r="O13" s="1"/>
      <c r="P13" s="1"/>
      <c r="Q13" s="1"/>
      <c r="R13" s="1"/>
      <c r="S13" s="15"/>
    </row>
    <row r="14" spans="2:19" ht="15" customHeight="1" x14ac:dyDescent="0.35">
      <c r="C14" s="17" t="s">
        <v>17</v>
      </c>
      <c r="D14" s="1"/>
      <c r="E14" s="1"/>
      <c r="F14" s="3"/>
      <c r="G14" s="3"/>
      <c r="H14" s="23">
        <v>5</v>
      </c>
      <c r="I14" s="7"/>
      <c r="J14" s="23">
        <v>2</v>
      </c>
      <c r="K14" s="23">
        <v>2</v>
      </c>
      <c r="L14" s="6"/>
      <c r="M14" s="23">
        <v>3</v>
      </c>
      <c r="N14" s="1"/>
      <c r="O14" s="1"/>
      <c r="P14" s="1"/>
      <c r="Q14" s="1"/>
      <c r="R14" s="1"/>
      <c r="S14" s="15"/>
    </row>
    <row r="15" spans="2:19" ht="15" customHeight="1" x14ac:dyDescent="0.35">
      <c r="C15" s="17" t="s">
        <v>18</v>
      </c>
      <c r="D15" s="1"/>
      <c r="E15" s="1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5"/>
    </row>
    <row r="16" spans="2:19" ht="15" customHeight="1" x14ac:dyDescent="0.35">
      <c r="C16" s="17" t="s">
        <v>19</v>
      </c>
      <c r="D16" s="1"/>
      <c r="E16" s="1"/>
      <c r="F16" s="1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5"/>
    </row>
    <row r="17" spans="2:22" ht="15" customHeight="1" x14ac:dyDescent="0.35">
      <c r="C17" s="17" t="s">
        <v>20</v>
      </c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5"/>
      <c r="V17" t="s">
        <v>21</v>
      </c>
    </row>
    <row r="18" spans="2:22" ht="15" customHeight="1" x14ac:dyDescent="0.35">
      <c r="C18" s="17" t="s">
        <v>22</v>
      </c>
      <c r="D18" s="1"/>
      <c r="E18" s="1"/>
      <c r="F18" s="1"/>
      <c r="G18" s="1"/>
      <c r="H18" s="1"/>
      <c r="I18" s="3"/>
      <c r="J18" s="3"/>
      <c r="K18" s="3"/>
      <c r="L18" s="3"/>
      <c r="M18" s="3"/>
      <c r="N18" s="3"/>
      <c r="O18" s="3"/>
      <c r="P18" s="3"/>
      <c r="Q18" s="1"/>
      <c r="R18" s="1"/>
      <c r="S18" s="18"/>
    </row>
    <row r="19" spans="2:22" ht="15" customHeight="1" x14ac:dyDescent="0.35">
      <c r="C19" s="17" t="s">
        <v>23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3"/>
      <c r="O19" s="3"/>
      <c r="P19" s="3"/>
      <c r="Q19" s="1"/>
      <c r="R19" s="1"/>
      <c r="S19" s="18"/>
    </row>
    <row r="20" spans="2:22" ht="15" customHeight="1" x14ac:dyDescent="0.35">
      <c r="C20" s="17" t="s">
        <v>24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3"/>
      <c r="R20" s="1"/>
      <c r="S20" s="18"/>
    </row>
    <row r="21" spans="2:22" ht="15" customHeight="1" x14ac:dyDescent="0.35">
      <c r="C21" s="17" t="s">
        <v>25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3"/>
      <c r="S21" s="18"/>
    </row>
    <row r="22" spans="2:22" ht="15" customHeight="1" x14ac:dyDescent="0.35">
      <c r="C22" s="17" t="s">
        <v>26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"/>
      <c r="S22" s="18"/>
    </row>
    <row r="23" spans="2:22" ht="15" customHeight="1" thickBot="1" x14ac:dyDescent="0.4">
      <c r="C23" s="19" t="s">
        <v>27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</row>
    <row r="24" spans="2:22" ht="15" customHeight="1" x14ac:dyDescent="0.35">
      <c r="C24" s="8"/>
      <c r="S24" s="9"/>
    </row>
    <row r="25" spans="2:22" ht="15" thickBot="1" x14ac:dyDescent="0.4">
      <c r="C25" s="8"/>
    </row>
    <row r="26" spans="2:22" x14ac:dyDescent="0.35">
      <c r="C26" s="11" t="s">
        <v>28</v>
      </c>
      <c r="D26" s="12">
        <v>46097</v>
      </c>
      <c r="E26" s="12">
        <f>D26+7</f>
        <v>46104</v>
      </c>
      <c r="F26" s="12">
        <f t="shared" ref="F26" si="3">E26+7</f>
        <v>46111</v>
      </c>
      <c r="G26" s="12">
        <f t="shared" ref="G26" si="4">F26+7</f>
        <v>46118</v>
      </c>
      <c r="H26" s="12">
        <f t="shared" ref="H26" si="5">G26+7</f>
        <v>46125</v>
      </c>
      <c r="I26" s="12">
        <f t="shared" ref="I26" si="6">H26+7</f>
        <v>46132</v>
      </c>
      <c r="J26" s="12">
        <f t="shared" ref="J26" si="7">I26+7</f>
        <v>46139</v>
      </c>
      <c r="K26" s="12">
        <f t="shared" ref="K26" si="8">J26+7</f>
        <v>46146</v>
      </c>
      <c r="L26" s="12">
        <f t="shared" ref="L26" si="9">K26+7</f>
        <v>46153</v>
      </c>
      <c r="M26" s="12">
        <f t="shared" ref="M26" si="10">L26+7</f>
        <v>46160</v>
      </c>
      <c r="N26" s="12">
        <f>M26+7</f>
        <v>46167</v>
      </c>
      <c r="O26" s="12">
        <f t="shared" ref="O26" si="11">N26+7</f>
        <v>46174</v>
      </c>
      <c r="P26" s="12">
        <f t="shared" ref="P26" si="12">O26+7</f>
        <v>46181</v>
      </c>
      <c r="Q26" s="12">
        <f t="shared" ref="Q26" si="13">P26+7</f>
        <v>46188</v>
      </c>
      <c r="R26" s="12">
        <f t="shared" ref="R26" si="14">Q26+7</f>
        <v>46195</v>
      </c>
      <c r="S26" s="13">
        <f t="shared" ref="S26" si="15">R26+7</f>
        <v>46202</v>
      </c>
    </row>
    <row r="27" spans="2:22" x14ac:dyDescent="0.35">
      <c r="C27" s="14" t="s">
        <v>8</v>
      </c>
      <c r="D27" s="2">
        <v>1</v>
      </c>
      <c r="E27" s="2">
        <f>D27+1</f>
        <v>2</v>
      </c>
      <c r="F27" s="2">
        <f t="shared" ref="F27" si="16">E27+1</f>
        <v>3</v>
      </c>
      <c r="G27" s="2">
        <f t="shared" ref="G27" si="17">F27+1</f>
        <v>4</v>
      </c>
      <c r="H27" s="2">
        <f t="shared" ref="H27" si="18">G27+1</f>
        <v>5</v>
      </c>
      <c r="I27" s="2">
        <f t="shared" ref="I27" si="19">H27+1</f>
        <v>6</v>
      </c>
      <c r="J27" s="2">
        <f t="shared" ref="J27" si="20">I27+1</f>
        <v>7</v>
      </c>
      <c r="K27" s="2">
        <f t="shared" ref="K27" si="21">J27+1</f>
        <v>8</v>
      </c>
      <c r="L27" s="2">
        <f t="shared" ref="L27" si="22">K27+1</f>
        <v>9</v>
      </c>
      <c r="M27" s="2">
        <f t="shared" ref="M27" si="23">L27+1</f>
        <v>10</v>
      </c>
      <c r="N27" s="2">
        <f>M27+1</f>
        <v>11</v>
      </c>
      <c r="O27" s="2">
        <f t="shared" ref="O27" si="24">N27+1</f>
        <v>12</v>
      </c>
      <c r="P27" s="2">
        <f t="shared" ref="P27" si="25">O27+1</f>
        <v>13</v>
      </c>
      <c r="Q27" s="2">
        <f t="shared" ref="Q27" si="26">P27+1</f>
        <v>14</v>
      </c>
      <c r="R27" s="2">
        <f t="shared" ref="R27" si="27">Q27+1</f>
        <v>15</v>
      </c>
      <c r="S27" s="15">
        <f t="shared" ref="S27" si="28">R27+1</f>
        <v>16</v>
      </c>
    </row>
    <row r="28" spans="2:22" x14ac:dyDescent="0.35">
      <c r="C28" s="16" t="s">
        <v>10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5"/>
    </row>
    <row r="29" spans="2:22" x14ac:dyDescent="0.35">
      <c r="B29" s="26" t="s">
        <v>29</v>
      </c>
      <c r="C29" s="16" t="s">
        <v>11</v>
      </c>
      <c r="D29" s="3"/>
      <c r="E29" s="3"/>
      <c r="F29" s="3"/>
      <c r="G29" s="2"/>
      <c r="H29" s="2"/>
      <c r="I29" s="4"/>
      <c r="J29" s="4"/>
      <c r="K29" s="3"/>
      <c r="L29" s="3"/>
      <c r="M29" s="3"/>
      <c r="N29" s="2"/>
      <c r="O29" s="2"/>
      <c r="P29" s="2"/>
      <c r="Q29" s="2"/>
      <c r="R29" s="2"/>
      <c r="S29" s="15"/>
    </row>
    <row r="30" spans="2:22" x14ac:dyDescent="0.35">
      <c r="C30" s="16" t="s">
        <v>12</v>
      </c>
      <c r="D30" s="2"/>
      <c r="E30" s="2"/>
      <c r="F30" s="2"/>
      <c r="G30" s="3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15"/>
    </row>
    <row r="31" spans="2:22" x14ac:dyDescent="0.35">
      <c r="B31" s="26" t="s">
        <v>29</v>
      </c>
      <c r="C31" s="16" t="s">
        <v>13</v>
      </c>
      <c r="D31" s="2"/>
      <c r="E31" s="2"/>
      <c r="F31" s="2"/>
      <c r="G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15"/>
    </row>
    <row r="32" spans="2:22" ht="14.25" customHeight="1" x14ac:dyDescent="0.35">
      <c r="C32" s="17" t="s">
        <v>14</v>
      </c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5"/>
    </row>
    <row r="33" spans="3:19" ht="14.25" customHeight="1" x14ac:dyDescent="0.35">
      <c r="C33" s="17" t="s">
        <v>15</v>
      </c>
      <c r="D33" s="3"/>
      <c r="E33" s="3"/>
      <c r="F33" s="3"/>
      <c r="G33" s="1"/>
      <c r="H33" s="1"/>
      <c r="I33" s="10"/>
      <c r="J33" s="10"/>
      <c r="K33" s="10"/>
      <c r="L33" s="1"/>
      <c r="M33" s="1"/>
      <c r="N33" s="1"/>
      <c r="O33" s="1"/>
      <c r="P33" s="1"/>
      <c r="Q33" s="1"/>
      <c r="R33" s="1"/>
      <c r="S33" s="15"/>
    </row>
    <row r="34" spans="3:19" ht="14.25" customHeight="1" x14ac:dyDescent="0.35">
      <c r="C34" s="17" t="s">
        <v>16</v>
      </c>
      <c r="D34" s="1"/>
      <c r="E34" s="3"/>
      <c r="F34" s="3"/>
      <c r="G34" s="3"/>
      <c r="H34" s="1"/>
      <c r="I34" s="1"/>
      <c r="J34" s="10"/>
      <c r="K34" s="10"/>
      <c r="L34" s="1"/>
      <c r="M34" s="1"/>
      <c r="N34" s="1"/>
      <c r="O34" s="1"/>
      <c r="P34" s="1"/>
      <c r="Q34" s="1"/>
      <c r="R34" s="1"/>
      <c r="S34" s="15"/>
    </row>
    <row r="35" spans="3:19" ht="14.25" customHeight="1" x14ac:dyDescent="0.35">
      <c r="C35" s="17" t="s">
        <v>17</v>
      </c>
      <c r="D35" s="1"/>
      <c r="E35" s="1"/>
      <c r="F35" s="3"/>
      <c r="G35" s="3"/>
      <c r="H35" s="24">
        <v>5</v>
      </c>
      <c r="I35" s="2"/>
      <c r="J35" s="24">
        <v>2</v>
      </c>
      <c r="K35" s="24">
        <v>2</v>
      </c>
      <c r="L35" s="24">
        <v>2</v>
      </c>
      <c r="M35" s="1"/>
      <c r="N35" s="1"/>
      <c r="O35" s="1"/>
      <c r="P35" s="1"/>
      <c r="Q35" s="1"/>
      <c r="R35" s="1"/>
      <c r="S35" s="15"/>
    </row>
    <row r="36" spans="3:19" ht="14.25" customHeight="1" x14ac:dyDescent="0.35">
      <c r="C36" s="17" t="s">
        <v>18</v>
      </c>
      <c r="D36" s="1"/>
      <c r="E36" s="1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5"/>
    </row>
    <row r="37" spans="3:19" ht="14.25" customHeight="1" x14ac:dyDescent="0.35">
      <c r="C37" s="17" t="s">
        <v>19</v>
      </c>
      <c r="D37" s="1"/>
      <c r="E37" s="1"/>
      <c r="F37" s="1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5"/>
    </row>
    <row r="38" spans="3:19" x14ac:dyDescent="0.35">
      <c r="C38" s="17" t="s">
        <v>20</v>
      </c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1"/>
      <c r="P38" s="1"/>
      <c r="Q38" s="1"/>
      <c r="R38" s="1"/>
      <c r="S38" s="15"/>
    </row>
    <row r="39" spans="3:19" x14ac:dyDescent="0.35">
      <c r="C39" s="17" t="s">
        <v>22</v>
      </c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1"/>
      <c r="R39" s="1"/>
      <c r="S39" s="18"/>
    </row>
    <row r="40" spans="3:19" x14ac:dyDescent="0.35">
      <c r="C40" s="17" t="s">
        <v>23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3"/>
      <c r="P40" s="3"/>
      <c r="Q40" s="1"/>
      <c r="R40" s="1"/>
      <c r="S40" s="18"/>
    </row>
    <row r="41" spans="3:19" x14ac:dyDescent="0.35">
      <c r="C41" s="17" t="s">
        <v>24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3"/>
      <c r="R41" s="1"/>
      <c r="S41" s="18"/>
    </row>
    <row r="42" spans="3:19" x14ac:dyDescent="0.35">
      <c r="C42" s="17" t="s">
        <v>25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18"/>
    </row>
    <row r="43" spans="3:19" x14ac:dyDescent="0.35">
      <c r="C43" s="17" t="s">
        <v>26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3"/>
      <c r="S43" s="18"/>
    </row>
    <row r="44" spans="3:19" ht="15" thickBot="1" x14ac:dyDescent="0.4">
      <c r="C44" s="19" t="s">
        <v>27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1"/>
    </row>
  </sheetData>
  <mergeCells count="6">
    <mergeCell ref="D4:S4"/>
    <mergeCell ref="D3:F3"/>
    <mergeCell ref="G3:I3"/>
    <mergeCell ref="J3:M3"/>
    <mergeCell ref="N3:P3"/>
    <mergeCell ref="Q3:S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F215-49CA-4972-A782-732AA0CCEA7A}">
  <dimension ref="C1:V46"/>
  <sheetViews>
    <sheetView topLeftCell="B24" workbookViewId="0">
      <selection activeCell="C39" sqref="C39:T39"/>
    </sheetView>
  </sheetViews>
  <sheetFormatPr defaultRowHeight="14.5" x14ac:dyDescent="0.35"/>
  <cols>
    <col min="3" max="3" width="29.54296875" customWidth="1"/>
    <col min="4" max="4" width="19.1796875" customWidth="1"/>
    <col min="5" max="7" width="7.1796875" bestFit="1" customWidth="1"/>
    <col min="8" max="8" width="5.7265625" bestFit="1" customWidth="1"/>
    <col min="9" max="11" width="6.7265625" bestFit="1" customWidth="1"/>
    <col min="12" max="12" width="6.26953125" bestFit="1" customWidth="1"/>
    <col min="13" max="15" width="7.26953125" bestFit="1" customWidth="1"/>
    <col min="16" max="17" width="5.7265625" bestFit="1" customWidth="1"/>
    <col min="18" max="20" width="6.7265625" bestFit="1" customWidth="1"/>
  </cols>
  <sheetData>
    <row r="1" spans="3:20" ht="15" thickBot="1" x14ac:dyDescent="0.4"/>
    <row r="2" spans="3:20" ht="15" thickBot="1" x14ac:dyDescent="0.4">
      <c r="C2" s="55" t="s">
        <v>7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7"/>
    </row>
    <row r="3" spans="3:20" x14ac:dyDescent="0.35">
      <c r="C3" s="11" t="s">
        <v>30</v>
      </c>
      <c r="D3" s="27" t="s">
        <v>31</v>
      </c>
      <c r="E3" s="12">
        <v>46097</v>
      </c>
      <c r="F3" s="12">
        <f t="shared" ref="F3:T3" si="0">E3+7</f>
        <v>46104</v>
      </c>
      <c r="G3" s="12">
        <f t="shared" si="0"/>
        <v>46111</v>
      </c>
      <c r="H3" s="12">
        <f t="shared" si="0"/>
        <v>46118</v>
      </c>
      <c r="I3" s="12">
        <f t="shared" si="0"/>
        <v>46125</v>
      </c>
      <c r="J3" s="12">
        <f t="shared" si="0"/>
        <v>46132</v>
      </c>
      <c r="K3" s="12">
        <f t="shared" si="0"/>
        <v>46139</v>
      </c>
      <c r="L3" s="12">
        <f t="shared" si="0"/>
        <v>46146</v>
      </c>
      <c r="M3" s="12">
        <f t="shared" si="0"/>
        <v>46153</v>
      </c>
      <c r="N3" s="12">
        <f t="shared" si="0"/>
        <v>46160</v>
      </c>
      <c r="O3" s="12">
        <f t="shared" si="0"/>
        <v>46167</v>
      </c>
      <c r="P3" s="12">
        <f t="shared" si="0"/>
        <v>46174</v>
      </c>
      <c r="Q3" s="12">
        <f t="shared" si="0"/>
        <v>46181</v>
      </c>
      <c r="R3" s="12">
        <f t="shared" si="0"/>
        <v>46188</v>
      </c>
      <c r="S3" s="12">
        <f t="shared" si="0"/>
        <v>46195</v>
      </c>
      <c r="T3" s="13">
        <f t="shared" si="0"/>
        <v>46202</v>
      </c>
    </row>
    <row r="4" spans="3:20" x14ac:dyDescent="0.35">
      <c r="C4" s="17"/>
      <c r="D4" s="28"/>
      <c r="E4" s="2">
        <v>1</v>
      </c>
      <c r="F4" s="2">
        <f t="shared" ref="F4:T4" si="1">E4+1</f>
        <v>2</v>
      </c>
      <c r="G4" s="2">
        <f t="shared" si="1"/>
        <v>3</v>
      </c>
      <c r="H4" s="2">
        <f t="shared" si="1"/>
        <v>4</v>
      </c>
      <c r="I4" s="2">
        <f t="shared" si="1"/>
        <v>5</v>
      </c>
      <c r="J4" s="2">
        <f t="shared" si="1"/>
        <v>6</v>
      </c>
      <c r="K4" s="2">
        <f t="shared" si="1"/>
        <v>7</v>
      </c>
      <c r="L4" s="2">
        <f t="shared" si="1"/>
        <v>8</v>
      </c>
      <c r="M4" s="2">
        <f t="shared" si="1"/>
        <v>9</v>
      </c>
      <c r="N4" s="2">
        <f t="shared" si="1"/>
        <v>10</v>
      </c>
      <c r="O4" s="2">
        <f t="shared" si="1"/>
        <v>11</v>
      </c>
      <c r="P4" s="2">
        <f t="shared" si="1"/>
        <v>12</v>
      </c>
      <c r="Q4" s="2">
        <f t="shared" si="1"/>
        <v>13</v>
      </c>
      <c r="R4" s="2">
        <f t="shared" si="1"/>
        <v>14</v>
      </c>
      <c r="S4" s="2">
        <f t="shared" si="1"/>
        <v>15</v>
      </c>
      <c r="T4" s="15">
        <f t="shared" si="1"/>
        <v>16</v>
      </c>
    </row>
    <row r="5" spans="3:20" x14ac:dyDescent="0.35">
      <c r="C5" s="17" t="s">
        <v>32</v>
      </c>
      <c r="D5" s="28" t="s">
        <v>33</v>
      </c>
      <c r="E5" s="29">
        <v>0.35</v>
      </c>
      <c r="F5" s="29">
        <v>0.35</v>
      </c>
      <c r="G5" s="29">
        <v>0.35</v>
      </c>
      <c r="H5" s="29">
        <v>0.35</v>
      </c>
      <c r="I5" s="29">
        <v>0.35</v>
      </c>
      <c r="J5" s="29">
        <v>0.35</v>
      </c>
      <c r="K5" s="29">
        <v>0.35</v>
      </c>
      <c r="L5" s="29">
        <v>0.35</v>
      </c>
      <c r="M5" s="29">
        <v>0.35</v>
      </c>
      <c r="N5" s="29">
        <v>0.35</v>
      </c>
      <c r="O5" s="29">
        <v>0.35</v>
      </c>
      <c r="P5" s="29">
        <v>0.35</v>
      </c>
      <c r="Q5" s="29">
        <v>0.35</v>
      </c>
      <c r="R5" s="29">
        <v>0.35</v>
      </c>
      <c r="S5" s="29">
        <v>0.35</v>
      </c>
      <c r="T5" s="30">
        <v>0.35</v>
      </c>
    </row>
    <row r="6" spans="3:20" x14ac:dyDescent="0.35">
      <c r="C6" s="17" t="s">
        <v>34</v>
      </c>
      <c r="D6" s="28" t="s">
        <v>35</v>
      </c>
      <c r="E6" s="29">
        <v>0.5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30">
        <v>1</v>
      </c>
    </row>
    <row r="7" spans="3:20" x14ac:dyDescent="0.35">
      <c r="C7" s="17" t="s">
        <v>36</v>
      </c>
      <c r="D7" s="28" t="s">
        <v>37</v>
      </c>
      <c r="E7" s="29"/>
      <c r="F7" s="29">
        <v>0.5</v>
      </c>
      <c r="G7" s="29">
        <v>0.5</v>
      </c>
      <c r="H7" s="29">
        <v>0.5</v>
      </c>
      <c r="I7" s="29">
        <v>0.5</v>
      </c>
      <c r="J7" s="29">
        <v>0.5</v>
      </c>
      <c r="K7" s="29">
        <v>0.5</v>
      </c>
      <c r="L7" s="29">
        <v>0.5</v>
      </c>
      <c r="M7" s="29">
        <v>0.5</v>
      </c>
      <c r="N7" s="29">
        <v>0.5</v>
      </c>
      <c r="O7" s="29"/>
      <c r="P7" s="29"/>
      <c r="Q7" s="29"/>
      <c r="R7" s="29"/>
      <c r="S7" s="29"/>
      <c r="T7" s="30"/>
    </row>
    <row r="8" spans="3:20" x14ac:dyDescent="0.35">
      <c r="C8" s="17" t="s">
        <v>38</v>
      </c>
      <c r="D8" s="28" t="s">
        <v>39</v>
      </c>
      <c r="E8" s="29">
        <v>0.25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30">
        <v>1</v>
      </c>
    </row>
    <row r="9" spans="3:20" x14ac:dyDescent="0.35">
      <c r="C9" s="17" t="s">
        <v>40</v>
      </c>
      <c r="D9" s="28" t="s">
        <v>41</v>
      </c>
      <c r="E9" s="29"/>
      <c r="F9" s="29">
        <v>0.5</v>
      </c>
      <c r="G9" s="29">
        <v>0.5</v>
      </c>
      <c r="H9" s="29">
        <v>0.5</v>
      </c>
      <c r="I9" s="29">
        <v>0.5</v>
      </c>
      <c r="J9" s="29">
        <v>0.5</v>
      </c>
      <c r="K9" s="29">
        <v>0.5</v>
      </c>
      <c r="L9" s="29">
        <v>0.5</v>
      </c>
      <c r="M9" s="29">
        <v>0.5</v>
      </c>
      <c r="N9" s="29">
        <v>0.5</v>
      </c>
      <c r="O9" s="29">
        <v>0.25</v>
      </c>
      <c r="P9" s="29">
        <v>0.25</v>
      </c>
      <c r="Q9" s="29">
        <v>0.25</v>
      </c>
      <c r="R9" s="29">
        <v>0.25</v>
      </c>
      <c r="S9" s="29"/>
      <c r="T9" s="30"/>
    </row>
    <row r="10" spans="3:20" x14ac:dyDescent="0.35">
      <c r="C10" s="17"/>
      <c r="D10" s="28" t="s">
        <v>42</v>
      </c>
      <c r="E10" s="29"/>
      <c r="F10" s="29"/>
      <c r="G10" s="29"/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0.5</v>
      </c>
      <c r="P10" s="29">
        <v>0.5</v>
      </c>
      <c r="Q10" s="29">
        <v>0.5</v>
      </c>
      <c r="R10" s="29">
        <v>0.5</v>
      </c>
      <c r="S10" s="29">
        <v>0.5</v>
      </c>
      <c r="T10" s="30">
        <v>0.5</v>
      </c>
    </row>
    <row r="11" spans="3:20" x14ac:dyDescent="0.35">
      <c r="C11" s="17"/>
      <c r="D11" s="28" t="s">
        <v>43</v>
      </c>
      <c r="E11" s="29"/>
      <c r="F11" s="29"/>
      <c r="G11" s="29"/>
      <c r="H11" s="29">
        <v>0.5</v>
      </c>
      <c r="I11" s="29">
        <v>0.5</v>
      </c>
      <c r="J11" s="29">
        <v>0.5</v>
      </c>
      <c r="K11" s="29">
        <v>0.5</v>
      </c>
      <c r="L11" s="29">
        <v>0.5</v>
      </c>
      <c r="M11" s="29">
        <v>0.5</v>
      </c>
      <c r="N11" s="29">
        <v>0.5</v>
      </c>
      <c r="O11" s="29"/>
      <c r="P11" s="29"/>
      <c r="Q11" s="29"/>
      <c r="R11" s="29"/>
      <c r="S11" s="29"/>
      <c r="T11" s="30"/>
    </row>
    <row r="12" spans="3:20" x14ac:dyDescent="0.35">
      <c r="C12" s="17" t="s">
        <v>44</v>
      </c>
      <c r="D12" s="28" t="s">
        <v>45</v>
      </c>
      <c r="E12" s="29">
        <v>0.5</v>
      </c>
      <c r="F12" s="29">
        <v>0.75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30">
        <v>1</v>
      </c>
    </row>
    <row r="13" spans="3:20" x14ac:dyDescent="0.35">
      <c r="C13" s="38" t="s">
        <v>46</v>
      </c>
      <c r="D13" s="28" t="s">
        <v>47</v>
      </c>
      <c r="E13" s="29"/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0.5</v>
      </c>
      <c r="N13" s="29">
        <v>0.5</v>
      </c>
      <c r="O13" s="29">
        <v>0.5</v>
      </c>
      <c r="P13" s="29">
        <v>0.5</v>
      </c>
      <c r="Q13" s="29">
        <v>0.5</v>
      </c>
      <c r="R13" s="29">
        <v>0.5</v>
      </c>
      <c r="S13" s="29">
        <v>0.5</v>
      </c>
      <c r="T13" s="30">
        <v>0.5</v>
      </c>
    </row>
    <row r="14" spans="3:20" x14ac:dyDescent="0.35">
      <c r="C14" s="17" t="s">
        <v>48</v>
      </c>
      <c r="D14" s="28" t="s">
        <v>49</v>
      </c>
      <c r="E14" s="29">
        <v>0.5</v>
      </c>
      <c r="F14" s="29">
        <v>0.5</v>
      </c>
      <c r="G14" s="29">
        <v>0.5</v>
      </c>
      <c r="H14" s="29">
        <v>0.5</v>
      </c>
      <c r="I14" s="29">
        <v>0.5</v>
      </c>
      <c r="J14" s="29">
        <v>0.5</v>
      </c>
      <c r="K14" s="29">
        <v>0.5</v>
      </c>
      <c r="L14" s="29">
        <v>0.5</v>
      </c>
      <c r="M14" s="29">
        <v>0.5</v>
      </c>
      <c r="N14" s="29">
        <v>0.5</v>
      </c>
      <c r="O14" s="29">
        <v>0.5</v>
      </c>
      <c r="P14" s="29">
        <v>0.5</v>
      </c>
      <c r="Q14" s="29">
        <v>0.5</v>
      </c>
      <c r="R14" s="29">
        <v>0.5</v>
      </c>
      <c r="S14" s="29">
        <v>0.5</v>
      </c>
      <c r="T14" s="30">
        <v>0.5</v>
      </c>
    </row>
    <row r="15" spans="3:20" x14ac:dyDescent="0.35">
      <c r="C15" s="17"/>
      <c r="D15" s="28" t="s">
        <v>50</v>
      </c>
      <c r="E15" s="29">
        <v>0.5</v>
      </c>
      <c r="F15" s="29">
        <v>0.5</v>
      </c>
      <c r="G15" s="29">
        <v>0.5</v>
      </c>
      <c r="H15" s="29">
        <v>0.5</v>
      </c>
      <c r="I15" s="29">
        <v>0.5</v>
      </c>
      <c r="J15" s="29">
        <v>0.5</v>
      </c>
      <c r="K15" s="29">
        <v>0.5</v>
      </c>
      <c r="L15" s="29">
        <v>0.5</v>
      </c>
      <c r="M15" s="29">
        <v>0.5</v>
      </c>
      <c r="N15" s="29">
        <v>0.5</v>
      </c>
      <c r="O15" s="29">
        <v>0.5</v>
      </c>
      <c r="P15" s="29">
        <v>0.5</v>
      </c>
      <c r="Q15" s="29">
        <v>0.5</v>
      </c>
      <c r="R15" s="29">
        <v>0.5</v>
      </c>
      <c r="S15" s="29">
        <v>0.5</v>
      </c>
      <c r="T15" s="30">
        <v>0.5</v>
      </c>
    </row>
    <row r="16" spans="3:20" x14ac:dyDescent="0.35">
      <c r="C16" s="17" t="s">
        <v>51</v>
      </c>
      <c r="D16" s="28" t="s">
        <v>52</v>
      </c>
      <c r="E16" s="29">
        <v>0.35</v>
      </c>
      <c r="F16" s="29">
        <v>0.35</v>
      </c>
      <c r="G16" s="29">
        <v>0.35</v>
      </c>
      <c r="H16" s="29">
        <v>0.35</v>
      </c>
      <c r="I16" s="29">
        <v>0.35</v>
      </c>
      <c r="J16" s="29">
        <v>0.35</v>
      </c>
      <c r="K16" s="29">
        <v>0.35</v>
      </c>
      <c r="L16" s="29">
        <v>0.35</v>
      </c>
      <c r="M16" s="29">
        <v>0.35</v>
      </c>
      <c r="N16" s="29">
        <v>0.35</v>
      </c>
      <c r="O16" s="29">
        <v>0.35</v>
      </c>
      <c r="P16" s="29">
        <v>0.35</v>
      </c>
      <c r="Q16" s="29">
        <v>0.35</v>
      </c>
      <c r="R16" s="29">
        <v>0.35</v>
      </c>
      <c r="S16" s="29">
        <v>0.35</v>
      </c>
      <c r="T16" s="30">
        <v>0.35</v>
      </c>
    </row>
    <row r="17" spans="3:22" x14ac:dyDescent="0.35">
      <c r="C17" s="17" t="s">
        <v>53</v>
      </c>
      <c r="D17" s="28" t="s">
        <v>54</v>
      </c>
      <c r="E17" s="29">
        <v>0.25</v>
      </c>
      <c r="F17" s="29">
        <v>0.25</v>
      </c>
      <c r="G17" s="29">
        <v>0.25</v>
      </c>
      <c r="H17" s="29">
        <v>0.25</v>
      </c>
      <c r="I17" s="29">
        <v>0.25</v>
      </c>
      <c r="J17" s="29">
        <v>0.25</v>
      </c>
      <c r="K17" s="29">
        <v>0.25</v>
      </c>
      <c r="L17" s="29">
        <v>0.25</v>
      </c>
      <c r="M17" s="29">
        <v>0.25</v>
      </c>
      <c r="N17" s="29">
        <v>0.25</v>
      </c>
      <c r="O17" s="29">
        <v>0.25</v>
      </c>
      <c r="P17" s="29">
        <v>0.25</v>
      </c>
      <c r="Q17" s="29">
        <v>0.25</v>
      </c>
      <c r="R17" s="29">
        <v>0.25</v>
      </c>
      <c r="S17" s="29">
        <v>0.25</v>
      </c>
      <c r="T17" s="30">
        <v>0.25</v>
      </c>
    </row>
    <row r="18" spans="3:22" x14ac:dyDescent="0.35">
      <c r="C18" s="17" t="s">
        <v>55</v>
      </c>
      <c r="D18" s="28" t="s">
        <v>56</v>
      </c>
      <c r="E18" s="29">
        <v>0.1</v>
      </c>
      <c r="F18" s="29">
        <v>0.1</v>
      </c>
      <c r="G18" s="29">
        <v>0.1</v>
      </c>
      <c r="H18" s="29">
        <v>0.1</v>
      </c>
      <c r="I18" s="29">
        <v>0.1</v>
      </c>
      <c r="J18" s="29">
        <v>0.1</v>
      </c>
      <c r="K18" s="29">
        <v>0.1</v>
      </c>
      <c r="L18" s="29">
        <v>0.1</v>
      </c>
      <c r="M18" s="29">
        <v>0.1</v>
      </c>
      <c r="N18" s="29">
        <v>0.1</v>
      </c>
      <c r="O18" s="29">
        <v>0.1</v>
      </c>
      <c r="P18" s="29">
        <v>0.1</v>
      </c>
      <c r="Q18" s="29">
        <v>0.1</v>
      </c>
      <c r="R18" s="29">
        <v>0.1</v>
      </c>
      <c r="S18" s="29">
        <v>0.1</v>
      </c>
      <c r="T18" s="30">
        <v>0.1</v>
      </c>
    </row>
    <row r="19" spans="3:22" x14ac:dyDescent="0.35">
      <c r="C19" s="17"/>
      <c r="D19" s="2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5"/>
    </row>
    <row r="20" spans="3:22" x14ac:dyDescent="0.35">
      <c r="C20" s="17"/>
      <c r="D20" s="2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5"/>
    </row>
    <row r="21" spans="3:22" x14ac:dyDescent="0.35">
      <c r="C21" s="17"/>
      <c r="D21" s="2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5"/>
    </row>
    <row r="22" spans="3:22" x14ac:dyDescent="0.35">
      <c r="C22" s="17"/>
      <c r="D22" s="2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5"/>
    </row>
    <row r="23" spans="3:22" ht="15" thickBot="1" x14ac:dyDescent="0.4">
      <c r="C23" s="19"/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</row>
    <row r="24" spans="3:22" ht="15" thickBot="1" x14ac:dyDescent="0.4"/>
    <row r="25" spans="3:22" ht="15" thickBot="1" x14ac:dyDescent="0.4">
      <c r="C25" s="52" t="s">
        <v>28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4"/>
    </row>
    <row r="26" spans="3:22" x14ac:dyDescent="0.35">
      <c r="C26" s="11" t="s">
        <v>30</v>
      </c>
      <c r="D26" s="27" t="s">
        <v>31</v>
      </c>
      <c r="E26" s="12">
        <v>46097</v>
      </c>
      <c r="F26" s="12">
        <f t="shared" ref="F26:T26" si="2">E26+7</f>
        <v>46104</v>
      </c>
      <c r="G26" s="12">
        <f t="shared" si="2"/>
        <v>46111</v>
      </c>
      <c r="H26" s="12">
        <f t="shared" si="2"/>
        <v>46118</v>
      </c>
      <c r="I26" s="12">
        <f t="shared" si="2"/>
        <v>46125</v>
      </c>
      <c r="J26" s="12">
        <f t="shared" si="2"/>
        <v>46132</v>
      </c>
      <c r="K26" s="12">
        <f t="shared" si="2"/>
        <v>46139</v>
      </c>
      <c r="L26" s="12">
        <f t="shared" si="2"/>
        <v>46146</v>
      </c>
      <c r="M26" s="12">
        <f t="shared" si="2"/>
        <v>46153</v>
      </c>
      <c r="N26" s="12">
        <f t="shared" si="2"/>
        <v>46160</v>
      </c>
      <c r="O26" s="12">
        <f t="shared" si="2"/>
        <v>46167</v>
      </c>
      <c r="P26" s="12">
        <f t="shared" si="2"/>
        <v>46174</v>
      </c>
      <c r="Q26" s="12">
        <f t="shared" si="2"/>
        <v>46181</v>
      </c>
      <c r="R26" s="12">
        <f t="shared" si="2"/>
        <v>46188</v>
      </c>
      <c r="S26" s="12">
        <f t="shared" si="2"/>
        <v>46195</v>
      </c>
      <c r="T26" s="13">
        <f t="shared" si="2"/>
        <v>46202</v>
      </c>
    </row>
    <row r="27" spans="3:22" x14ac:dyDescent="0.35">
      <c r="C27" s="17"/>
      <c r="D27" s="28"/>
      <c r="E27" s="2">
        <v>1</v>
      </c>
      <c r="F27" s="2">
        <f t="shared" ref="F27:T27" si="3">E27+1</f>
        <v>2</v>
      </c>
      <c r="G27" s="2">
        <f t="shared" si="3"/>
        <v>3</v>
      </c>
      <c r="H27" s="2">
        <f t="shared" si="3"/>
        <v>4</v>
      </c>
      <c r="I27" s="2">
        <f t="shared" si="3"/>
        <v>5</v>
      </c>
      <c r="J27" s="2">
        <f t="shared" si="3"/>
        <v>6</v>
      </c>
      <c r="K27" s="2">
        <f t="shared" si="3"/>
        <v>7</v>
      </c>
      <c r="L27" s="2">
        <f t="shared" si="3"/>
        <v>8</v>
      </c>
      <c r="M27" s="2">
        <f t="shared" si="3"/>
        <v>9</v>
      </c>
      <c r="N27" s="2">
        <f t="shared" si="3"/>
        <v>10</v>
      </c>
      <c r="O27" s="2">
        <f t="shared" si="3"/>
        <v>11</v>
      </c>
      <c r="P27" s="2">
        <f t="shared" si="3"/>
        <v>12</v>
      </c>
      <c r="Q27" s="2">
        <f t="shared" si="3"/>
        <v>13</v>
      </c>
      <c r="R27" s="2">
        <f t="shared" si="3"/>
        <v>14</v>
      </c>
      <c r="S27" s="2">
        <f t="shared" si="3"/>
        <v>15</v>
      </c>
      <c r="T27" s="15">
        <f t="shared" si="3"/>
        <v>16</v>
      </c>
    </row>
    <row r="28" spans="3:22" x14ac:dyDescent="0.35">
      <c r="C28" s="17" t="s">
        <v>57</v>
      </c>
      <c r="D28" s="28" t="s">
        <v>33</v>
      </c>
      <c r="E28" s="29">
        <v>0.35</v>
      </c>
      <c r="F28" s="29">
        <v>0.35</v>
      </c>
      <c r="G28" s="29">
        <v>0.35</v>
      </c>
      <c r="H28" s="29">
        <v>0.35</v>
      </c>
      <c r="I28" s="29">
        <v>0.35</v>
      </c>
      <c r="J28" s="29">
        <v>0.35</v>
      </c>
      <c r="K28" s="29">
        <v>0.35</v>
      </c>
      <c r="L28" s="29">
        <v>0.35</v>
      </c>
      <c r="M28" s="29">
        <v>0.35</v>
      </c>
      <c r="N28" s="29">
        <v>0.35</v>
      </c>
      <c r="O28" s="29">
        <v>0.35</v>
      </c>
      <c r="P28" s="29">
        <v>0.35</v>
      </c>
      <c r="Q28" s="29">
        <v>0.35</v>
      </c>
      <c r="R28" s="29">
        <v>0.35</v>
      </c>
      <c r="S28" s="29">
        <v>0.35</v>
      </c>
      <c r="T28" s="30">
        <v>0.35</v>
      </c>
      <c r="V28" s="34"/>
    </row>
    <row r="29" spans="3:22" x14ac:dyDescent="0.35">
      <c r="C29" s="17" t="s">
        <v>58</v>
      </c>
      <c r="D29" s="28" t="s">
        <v>35</v>
      </c>
      <c r="E29" s="29">
        <v>0.5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30">
        <v>1</v>
      </c>
      <c r="V29" s="34"/>
    </row>
    <row r="30" spans="3:22" x14ac:dyDescent="0.35">
      <c r="C30" s="17" t="s">
        <v>36</v>
      </c>
      <c r="D30" s="28" t="s">
        <v>37</v>
      </c>
      <c r="E30" s="29"/>
      <c r="F30" s="29">
        <v>0.5</v>
      </c>
      <c r="G30" s="29">
        <v>0.5</v>
      </c>
      <c r="H30" s="29">
        <v>0.5</v>
      </c>
      <c r="I30" s="29">
        <v>0.5</v>
      </c>
      <c r="J30" s="29">
        <v>0.5</v>
      </c>
      <c r="K30" s="29">
        <v>0.5</v>
      </c>
      <c r="L30" s="29">
        <v>0.5</v>
      </c>
      <c r="M30" s="29">
        <v>0.5</v>
      </c>
      <c r="N30" s="29">
        <v>0.5</v>
      </c>
      <c r="O30" s="29"/>
      <c r="P30" s="29"/>
      <c r="Q30" s="29"/>
      <c r="R30" s="29"/>
      <c r="S30" s="29"/>
      <c r="T30" s="30"/>
      <c r="V30" s="34"/>
    </row>
    <row r="31" spans="3:22" x14ac:dyDescent="0.35">
      <c r="C31" s="17" t="s">
        <v>59</v>
      </c>
      <c r="D31" s="28" t="s">
        <v>39</v>
      </c>
      <c r="E31" s="29">
        <v>0.25</v>
      </c>
      <c r="F31" s="29">
        <v>1</v>
      </c>
      <c r="G31" s="29">
        <v>1</v>
      </c>
      <c r="H31" s="29">
        <v>1</v>
      </c>
      <c r="I31" s="29">
        <v>1</v>
      </c>
      <c r="J31" s="29">
        <v>1</v>
      </c>
      <c r="K31" s="29">
        <v>1</v>
      </c>
      <c r="L31" s="29">
        <v>1</v>
      </c>
      <c r="M31" s="29">
        <v>1</v>
      </c>
      <c r="N31" s="29">
        <v>1</v>
      </c>
      <c r="O31" s="29">
        <v>1</v>
      </c>
      <c r="P31" s="29">
        <v>1</v>
      </c>
      <c r="Q31" s="29">
        <v>1</v>
      </c>
      <c r="R31" s="29">
        <v>1</v>
      </c>
      <c r="S31" s="29">
        <v>1</v>
      </c>
      <c r="T31" s="30">
        <v>1</v>
      </c>
      <c r="V31" s="34"/>
    </row>
    <row r="32" spans="3:22" x14ac:dyDescent="0.35">
      <c r="C32" s="17" t="s">
        <v>40</v>
      </c>
      <c r="D32" s="28" t="s">
        <v>41</v>
      </c>
      <c r="E32" s="29"/>
      <c r="F32" s="29">
        <v>0.5</v>
      </c>
      <c r="G32" s="29">
        <v>0.5</v>
      </c>
      <c r="H32" s="29">
        <v>0.5</v>
      </c>
      <c r="I32" s="29">
        <v>0.5</v>
      </c>
      <c r="J32" s="29">
        <v>0.5</v>
      </c>
      <c r="K32" s="29">
        <v>0.5</v>
      </c>
      <c r="L32" s="29">
        <v>0.5</v>
      </c>
      <c r="M32" s="29">
        <v>0.5</v>
      </c>
      <c r="N32" s="29">
        <v>0.5</v>
      </c>
      <c r="O32" s="29">
        <v>0.25</v>
      </c>
      <c r="P32" s="29">
        <v>0.25</v>
      </c>
      <c r="Q32" s="29">
        <v>0.25</v>
      </c>
      <c r="R32" s="29">
        <v>0.25</v>
      </c>
      <c r="S32" s="29"/>
      <c r="T32" s="30"/>
      <c r="V32" s="34"/>
    </row>
    <row r="33" spans="3:22" x14ac:dyDescent="0.35">
      <c r="C33" s="17"/>
      <c r="D33" s="28" t="s">
        <v>42</v>
      </c>
      <c r="E33" s="29"/>
      <c r="F33" s="29"/>
      <c r="G33" s="29"/>
      <c r="H33" s="29">
        <v>1</v>
      </c>
      <c r="I33" s="29">
        <v>1</v>
      </c>
      <c r="J33" s="29">
        <v>1</v>
      </c>
      <c r="K33" s="29">
        <v>1</v>
      </c>
      <c r="L33" s="29">
        <v>1</v>
      </c>
      <c r="M33" s="29">
        <v>1</v>
      </c>
      <c r="N33" s="29">
        <v>1</v>
      </c>
      <c r="O33" s="29">
        <v>0.5</v>
      </c>
      <c r="P33" s="29">
        <v>0.5</v>
      </c>
      <c r="Q33" s="29">
        <v>0.5</v>
      </c>
      <c r="R33" s="29">
        <v>0.5</v>
      </c>
      <c r="S33" s="29">
        <v>0.5</v>
      </c>
      <c r="T33" s="30">
        <v>0.5</v>
      </c>
      <c r="V33" s="34"/>
    </row>
    <row r="34" spans="3:22" x14ac:dyDescent="0.35">
      <c r="C34" s="17"/>
      <c r="D34" s="28" t="s">
        <v>43</v>
      </c>
      <c r="E34" s="29"/>
      <c r="F34" s="29"/>
      <c r="G34" s="29"/>
      <c r="H34" s="29">
        <v>0.5</v>
      </c>
      <c r="I34" s="29">
        <v>0.5</v>
      </c>
      <c r="J34" s="29">
        <v>0.5</v>
      </c>
      <c r="K34" s="29">
        <v>0.5</v>
      </c>
      <c r="L34" s="29">
        <v>0.5</v>
      </c>
      <c r="M34" s="29">
        <v>0.5</v>
      </c>
      <c r="N34" s="29">
        <v>0.5</v>
      </c>
      <c r="O34" s="29"/>
      <c r="P34" s="29"/>
      <c r="Q34" s="29"/>
      <c r="R34" s="29"/>
      <c r="S34" s="29"/>
      <c r="T34" s="30"/>
      <c r="V34" s="34"/>
    </row>
    <row r="35" spans="3:22" x14ac:dyDescent="0.35">
      <c r="C35" s="17" t="s">
        <v>44</v>
      </c>
      <c r="D35" s="28" t="s">
        <v>45</v>
      </c>
      <c r="E35" s="29">
        <v>0.5</v>
      </c>
      <c r="F35" s="29">
        <v>0.75</v>
      </c>
      <c r="G35" s="29">
        <v>1</v>
      </c>
      <c r="H35" s="29">
        <v>1</v>
      </c>
      <c r="I35" s="29">
        <v>1</v>
      </c>
      <c r="J35" s="29">
        <v>1</v>
      </c>
      <c r="K35" s="29">
        <v>1</v>
      </c>
      <c r="L35" s="29">
        <v>1</v>
      </c>
      <c r="M35" s="29">
        <v>1</v>
      </c>
      <c r="N35" s="29">
        <v>1</v>
      </c>
      <c r="O35" s="29">
        <v>1</v>
      </c>
      <c r="P35" s="29">
        <v>1</v>
      </c>
      <c r="Q35" s="29">
        <v>1</v>
      </c>
      <c r="R35" s="29">
        <v>1</v>
      </c>
      <c r="S35" s="29">
        <v>1</v>
      </c>
      <c r="T35" s="30">
        <v>1</v>
      </c>
      <c r="V35" s="34"/>
    </row>
    <row r="36" spans="3:22" x14ac:dyDescent="0.35">
      <c r="C36" s="38" t="s">
        <v>46</v>
      </c>
      <c r="D36" s="28" t="s">
        <v>47</v>
      </c>
      <c r="E36" s="29"/>
      <c r="F36" s="29">
        <v>1</v>
      </c>
      <c r="G36" s="29">
        <v>1</v>
      </c>
      <c r="H36" s="29">
        <v>1</v>
      </c>
      <c r="I36" s="29">
        <v>1</v>
      </c>
      <c r="J36" s="29">
        <v>1</v>
      </c>
      <c r="K36" s="29">
        <v>1</v>
      </c>
      <c r="L36" s="29">
        <v>1</v>
      </c>
      <c r="M36" s="29">
        <v>0.5</v>
      </c>
      <c r="N36" s="29">
        <v>0.5</v>
      </c>
      <c r="O36" s="29">
        <v>0.5</v>
      </c>
      <c r="P36" s="29">
        <v>0.5</v>
      </c>
      <c r="Q36" s="29">
        <v>0.5</v>
      </c>
      <c r="R36" s="29">
        <v>0.5</v>
      </c>
      <c r="S36" s="29">
        <v>0.5</v>
      </c>
      <c r="T36" s="30">
        <v>0.5</v>
      </c>
      <c r="V36" s="34"/>
    </row>
    <row r="37" spans="3:22" x14ac:dyDescent="0.35">
      <c r="C37" s="17" t="s">
        <v>48</v>
      </c>
      <c r="D37" s="28" t="s">
        <v>49</v>
      </c>
      <c r="E37" s="29">
        <v>0.5</v>
      </c>
      <c r="F37" s="29">
        <v>0.5</v>
      </c>
      <c r="G37" s="29">
        <v>0.5</v>
      </c>
      <c r="H37" s="29">
        <v>0.5</v>
      </c>
      <c r="I37" s="29">
        <v>0.5</v>
      </c>
      <c r="J37" s="29">
        <v>0.5</v>
      </c>
      <c r="K37" s="29">
        <v>0.5</v>
      </c>
      <c r="L37" s="29">
        <v>0.5</v>
      </c>
      <c r="M37" s="29">
        <v>0.5</v>
      </c>
      <c r="N37" s="29">
        <v>0.5</v>
      </c>
      <c r="O37" s="29">
        <v>0.5</v>
      </c>
      <c r="P37" s="29">
        <v>0.5</v>
      </c>
      <c r="Q37" s="29">
        <v>0.5</v>
      </c>
      <c r="R37" s="29">
        <v>0.5</v>
      </c>
      <c r="S37" s="29">
        <v>0.5</v>
      </c>
      <c r="T37" s="30">
        <v>0.5</v>
      </c>
      <c r="V37" s="34"/>
    </row>
    <row r="38" spans="3:22" x14ac:dyDescent="0.35">
      <c r="C38" s="17"/>
      <c r="D38" s="28" t="s">
        <v>50</v>
      </c>
      <c r="E38" s="29">
        <v>0.5</v>
      </c>
      <c r="F38" s="29">
        <v>0.5</v>
      </c>
      <c r="G38" s="29">
        <v>0.5</v>
      </c>
      <c r="H38" s="29">
        <v>0.5</v>
      </c>
      <c r="I38" s="29">
        <v>0.5</v>
      </c>
      <c r="J38" s="29">
        <v>0.5</v>
      </c>
      <c r="K38" s="29">
        <v>0.5</v>
      </c>
      <c r="L38" s="29">
        <v>0.5</v>
      </c>
      <c r="M38" s="29">
        <v>0.5</v>
      </c>
      <c r="N38" s="29">
        <v>0.5</v>
      </c>
      <c r="O38" s="29">
        <v>0.5</v>
      </c>
      <c r="P38" s="29">
        <v>0.5</v>
      </c>
      <c r="Q38" s="29">
        <v>0.5</v>
      </c>
      <c r="R38" s="29">
        <v>0.5</v>
      </c>
      <c r="S38" s="29">
        <v>0.5</v>
      </c>
      <c r="T38" s="30">
        <v>0.5</v>
      </c>
      <c r="V38" s="34"/>
    </row>
    <row r="39" spans="3:22" x14ac:dyDescent="0.35">
      <c r="C39" s="17" t="s">
        <v>51</v>
      </c>
      <c r="D39" s="28" t="s">
        <v>52</v>
      </c>
      <c r="E39" s="29">
        <v>0.35</v>
      </c>
      <c r="F39" s="29">
        <v>0.35</v>
      </c>
      <c r="G39" s="29">
        <v>0.35</v>
      </c>
      <c r="H39" s="29">
        <v>0.35</v>
      </c>
      <c r="I39" s="29">
        <v>0.35</v>
      </c>
      <c r="J39" s="29">
        <v>0.35</v>
      </c>
      <c r="K39" s="29">
        <v>0.35</v>
      </c>
      <c r="L39" s="29">
        <v>0.35</v>
      </c>
      <c r="M39" s="29">
        <v>0.35</v>
      </c>
      <c r="N39" s="29">
        <v>0.35</v>
      </c>
      <c r="O39" s="29">
        <v>0.35</v>
      </c>
      <c r="P39" s="29">
        <v>0.35</v>
      </c>
      <c r="Q39" s="29">
        <v>0.35</v>
      </c>
      <c r="R39" s="29">
        <v>0.35</v>
      </c>
      <c r="S39" s="29">
        <v>0.35</v>
      </c>
      <c r="T39" s="30">
        <v>0.35</v>
      </c>
      <c r="V39" s="34"/>
    </row>
    <row r="40" spans="3:22" x14ac:dyDescent="0.35">
      <c r="C40" s="17" t="s">
        <v>53</v>
      </c>
      <c r="D40" s="28" t="s">
        <v>54</v>
      </c>
      <c r="E40" s="29">
        <v>0.25</v>
      </c>
      <c r="F40" s="29">
        <v>0.25</v>
      </c>
      <c r="G40" s="29">
        <v>0.25</v>
      </c>
      <c r="H40" s="29">
        <v>0.25</v>
      </c>
      <c r="I40" s="29">
        <v>0.25</v>
      </c>
      <c r="J40" s="29">
        <v>0.25</v>
      </c>
      <c r="K40" s="29">
        <v>0.25</v>
      </c>
      <c r="L40" s="29">
        <v>0.25</v>
      </c>
      <c r="M40" s="29">
        <v>0.25</v>
      </c>
      <c r="N40" s="29">
        <v>0.25</v>
      </c>
      <c r="O40" s="29">
        <v>0.25</v>
      </c>
      <c r="P40" s="29">
        <v>0.25</v>
      </c>
      <c r="Q40" s="29">
        <v>0.25</v>
      </c>
      <c r="R40" s="29">
        <v>0.25</v>
      </c>
      <c r="S40" s="29">
        <v>0.25</v>
      </c>
      <c r="T40" s="30">
        <v>0.25</v>
      </c>
      <c r="V40" s="34"/>
    </row>
    <row r="41" spans="3:22" x14ac:dyDescent="0.35">
      <c r="C41" s="17" t="s">
        <v>55</v>
      </c>
      <c r="D41" s="28" t="s">
        <v>56</v>
      </c>
      <c r="E41" s="29">
        <v>0.1</v>
      </c>
      <c r="F41" s="29">
        <v>0.1</v>
      </c>
      <c r="G41" s="29">
        <v>0.1</v>
      </c>
      <c r="H41" s="29">
        <v>0.1</v>
      </c>
      <c r="I41" s="29">
        <v>0.1</v>
      </c>
      <c r="J41" s="29">
        <v>0.1</v>
      </c>
      <c r="K41" s="29">
        <v>0.1</v>
      </c>
      <c r="L41" s="29">
        <v>0.1</v>
      </c>
      <c r="M41" s="29">
        <v>0.1</v>
      </c>
      <c r="N41" s="29">
        <v>0.1</v>
      </c>
      <c r="O41" s="29">
        <v>0.1</v>
      </c>
      <c r="P41" s="29">
        <v>0.1</v>
      </c>
      <c r="Q41" s="29">
        <v>0.1</v>
      </c>
      <c r="R41" s="29">
        <v>0.1</v>
      </c>
      <c r="S41" s="29">
        <v>0.1</v>
      </c>
      <c r="T41" s="30">
        <v>0.1</v>
      </c>
      <c r="V41" s="34"/>
    </row>
    <row r="42" spans="3:22" x14ac:dyDescent="0.35">
      <c r="C42" s="17"/>
      <c r="D42" s="2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5"/>
    </row>
    <row r="43" spans="3:22" x14ac:dyDescent="0.35">
      <c r="C43" s="17"/>
      <c r="D43" s="2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5"/>
    </row>
    <row r="44" spans="3:22" x14ac:dyDescent="0.35">
      <c r="C44" s="17"/>
      <c r="D44" s="2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5"/>
    </row>
    <row r="45" spans="3:22" x14ac:dyDescent="0.35">
      <c r="C45" s="17"/>
      <c r="D45" s="2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5"/>
    </row>
    <row r="46" spans="3:22" ht="15" thickBot="1" x14ac:dyDescent="0.4">
      <c r="C46" s="19"/>
      <c r="D46" s="31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</row>
  </sheetData>
  <mergeCells count="2">
    <mergeCell ref="C25:T25"/>
    <mergeCell ref="C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1F40-7635-43B7-8D32-6340039154BF}">
  <dimension ref="B1:T35"/>
  <sheetViews>
    <sheetView topLeftCell="A9" workbookViewId="0">
      <selection activeCell="U33" sqref="U33"/>
    </sheetView>
  </sheetViews>
  <sheetFormatPr defaultRowHeight="14.5" x14ac:dyDescent="0.35"/>
  <cols>
    <col min="2" max="2" width="18.7265625" bestFit="1" customWidth="1"/>
    <col min="3" max="5" width="7.1796875" bestFit="1" customWidth="1"/>
    <col min="6" max="6" width="5.7265625" bestFit="1" customWidth="1"/>
    <col min="7" max="9" width="6.7265625" bestFit="1" customWidth="1"/>
    <col min="10" max="10" width="6.26953125" bestFit="1" customWidth="1"/>
    <col min="11" max="13" width="7.26953125" bestFit="1" customWidth="1"/>
    <col min="14" max="15" width="5.7265625" bestFit="1" customWidth="1"/>
    <col min="16" max="18" width="6.7265625" bestFit="1" customWidth="1"/>
  </cols>
  <sheetData>
    <row r="1" spans="2:18" ht="15" thickBot="1" x14ac:dyDescent="0.4">
      <c r="B1" t="s">
        <v>28</v>
      </c>
    </row>
    <row r="2" spans="2:18" x14ac:dyDescent="0.35">
      <c r="B2" s="35" t="s">
        <v>31</v>
      </c>
      <c r="C2" s="12">
        <v>46097</v>
      </c>
      <c r="D2" s="12">
        <f t="shared" ref="D2:R2" si="0">C2+7</f>
        <v>46104</v>
      </c>
      <c r="E2" s="12">
        <f t="shared" si="0"/>
        <v>46111</v>
      </c>
      <c r="F2" s="12">
        <f t="shared" si="0"/>
        <v>46118</v>
      </c>
      <c r="G2" s="12">
        <f t="shared" si="0"/>
        <v>46125</v>
      </c>
      <c r="H2" s="12">
        <f t="shared" si="0"/>
        <v>46132</v>
      </c>
      <c r="I2" s="12">
        <f t="shared" si="0"/>
        <v>46139</v>
      </c>
      <c r="J2" s="12">
        <f t="shared" si="0"/>
        <v>46146</v>
      </c>
      <c r="K2" s="12">
        <f t="shared" si="0"/>
        <v>46153</v>
      </c>
      <c r="L2" s="12">
        <f t="shared" si="0"/>
        <v>46160</v>
      </c>
      <c r="M2" s="12">
        <f t="shared" si="0"/>
        <v>46167</v>
      </c>
      <c r="N2" s="12">
        <f t="shared" si="0"/>
        <v>46174</v>
      </c>
      <c r="O2" s="12">
        <f t="shared" si="0"/>
        <v>46181</v>
      </c>
      <c r="P2" s="12">
        <f t="shared" si="0"/>
        <v>46188</v>
      </c>
      <c r="Q2" s="12">
        <f t="shared" si="0"/>
        <v>46195</v>
      </c>
      <c r="R2" s="13">
        <f t="shared" si="0"/>
        <v>46202</v>
      </c>
    </row>
    <row r="3" spans="2:18" x14ac:dyDescent="0.35">
      <c r="B3" s="36"/>
      <c r="C3" s="2">
        <v>1</v>
      </c>
      <c r="D3" s="2">
        <f t="shared" ref="D3:R3" si="1">C3+1</f>
        <v>2</v>
      </c>
      <c r="E3" s="2">
        <f t="shared" si="1"/>
        <v>3</v>
      </c>
      <c r="F3" s="2">
        <f t="shared" si="1"/>
        <v>4</v>
      </c>
      <c r="G3" s="2">
        <f t="shared" si="1"/>
        <v>5</v>
      </c>
      <c r="H3" s="2">
        <f t="shared" si="1"/>
        <v>6</v>
      </c>
      <c r="I3" s="2">
        <f t="shared" si="1"/>
        <v>7</v>
      </c>
      <c r="J3" s="2">
        <f t="shared" si="1"/>
        <v>8</v>
      </c>
      <c r="K3" s="2">
        <f t="shared" si="1"/>
        <v>9</v>
      </c>
      <c r="L3" s="2">
        <f t="shared" si="1"/>
        <v>10</v>
      </c>
      <c r="M3" s="2">
        <f t="shared" si="1"/>
        <v>11</v>
      </c>
      <c r="N3" s="2">
        <f t="shared" si="1"/>
        <v>12</v>
      </c>
      <c r="O3" s="2">
        <f t="shared" si="1"/>
        <v>13</v>
      </c>
      <c r="P3" s="2">
        <f t="shared" si="1"/>
        <v>14</v>
      </c>
      <c r="Q3" s="2">
        <f t="shared" si="1"/>
        <v>15</v>
      </c>
      <c r="R3" s="15">
        <f t="shared" si="1"/>
        <v>16</v>
      </c>
    </row>
    <row r="4" spans="2:18" x14ac:dyDescent="0.35">
      <c r="B4" s="36" t="s">
        <v>33</v>
      </c>
      <c r="C4" s="29">
        <v>0.35</v>
      </c>
      <c r="D4" s="29">
        <v>0.35</v>
      </c>
      <c r="E4" s="29">
        <v>0.35</v>
      </c>
      <c r="F4" s="29">
        <v>0.35</v>
      </c>
      <c r="G4" s="29">
        <v>0.35</v>
      </c>
      <c r="H4" s="29">
        <v>0.35</v>
      </c>
      <c r="I4" s="29">
        <v>0.35</v>
      </c>
      <c r="J4" s="29">
        <v>0.35</v>
      </c>
      <c r="K4" s="29">
        <v>0.35</v>
      </c>
      <c r="L4" s="29">
        <v>0.35</v>
      </c>
      <c r="M4" s="29">
        <v>0.35</v>
      </c>
      <c r="N4" s="29">
        <v>0.35</v>
      </c>
      <c r="O4" s="29">
        <v>0.35</v>
      </c>
      <c r="P4" s="29">
        <v>0.35</v>
      </c>
      <c r="Q4" s="29">
        <v>0.35</v>
      </c>
      <c r="R4" s="30">
        <v>0.35</v>
      </c>
    </row>
    <row r="5" spans="2:18" x14ac:dyDescent="0.35">
      <c r="B5" s="36" t="s">
        <v>35</v>
      </c>
      <c r="C5" s="29">
        <v>0.5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30">
        <v>1</v>
      </c>
    </row>
    <row r="6" spans="2:18" x14ac:dyDescent="0.35">
      <c r="B6" s="36" t="s">
        <v>37</v>
      </c>
      <c r="C6" s="29"/>
      <c r="D6" s="29">
        <v>0.5</v>
      </c>
      <c r="E6" s="29">
        <v>0.5</v>
      </c>
      <c r="F6" s="29">
        <v>0.5</v>
      </c>
      <c r="G6" s="29">
        <v>0.5</v>
      </c>
      <c r="H6" s="29">
        <v>0.5</v>
      </c>
      <c r="I6" s="29">
        <v>0.5</v>
      </c>
      <c r="J6" s="29">
        <v>0.5</v>
      </c>
      <c r="K6" s="29">
        <v>0.5</v>
      </c>
      <c r="L6" s="29">
        <v>0.5</v>
      </c>
      <c r="M6" s="29"/>
      <c r="N6" s="29"/>
      <c r="O6" s="29"/>
      <c r="P6" s="29"/>
      <c r="Q6" s="29"/>
      <c r="R6" s="30"/>
    </row>
    <row r="7" spans="2:18" x14ac:dyDescent="0.35">
      <c r="B7" s="36" t="s">
        <v>39</v>
      </c>
      <c r="C7" s="29">
        <v>0.25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30">
        <v>1</v>
      </c>
    </row>
    <row r="8" spans="2:18" x14ac:dyDescent="0.35">
      <c r="B8" s="36" t="s">
        <v>41</v>
      </c>
      <c r="C8" s="29"/>
      <c r="D8" s="29">
        <v>0.5</v>
      </c>
      <c r="E8" s="29">
        <v>0.5</v>
      </c>
      <c r="F8" s="29">
        <v>0.5</v>
      </c>
      <c r="G8" s="29">
        <v>0.5</v>
      </c>
      <c r="H8" s="29">
        <v>0.5</v>
      </c>
      <c r="I8" s="29">
        <v>0.5</v>
      </c>
      <c r="J8" s="29">
        <v>0.5</v>
      </c>
      <c r="K8" s="29">
        <v>0.5</v>
      </c>
      <c r="L8" s="29">
        <v>0.5</v>
      </c>
      <c r="M8" s="29">
        <v>0.25</v>
      </c>
      <c r="N8" s="29">
        <v>0.25</v>
      </c>
      <c r="O8" s="29">
        <v>0.25</v>
      </c>
      <c r="P8" s="29">
        <v>0.25</v>
      </c>
      <c r="Q8" s="29"/>
      <c r="R8" s="30"/>
    </row>
    <row r="9" spans="2:18" x14ac:dyDescent="0.35">
      <c r="B9" s="36" t="s">
        <v>42</v>
      </c>
      <c r="C9" s="29"/>
      <c r="D9" s="29"/>
      <c r="E9" s="29"/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0.5</v>
      </c>
      <c r="N9" s="29">
        <v>0.5</v>
      </c>
      <c r="O9" s="29">
        <v>0.5</v>
      </c>
      <c r="P9" s="29">
        <v>0.5</v>
      </c>
      <c r="Q9" s="29">
        <v>0.5</v>
      </c>
      <c r="R9" s="30">
        <v>0.5</v>
      </c>
    </row>
    <row r="10" spans="2:18" x14ac:dyDescent="0.35">
      <c r="B10" s="36" t="s">
        <v>43</v>
      </c>
      <c r="C10" s="29"/>
      <c r="D10" s="29"/>
      <c r="E10" s="29"/>
      <c r="F10" s="29">
        <v>0.5</v>
      </c>
      <c r="G10" s="29">
        <v>0.5</v>
      </c>
      <c r="H10" s="29">
        <v>0.5</v>
      </c>
      <c r="I10" s="29">
        <v>0.5</v>
      </c>
      <c r="J10" s="29">
        <v>0.5</v>
      </c>
      <c r="K10" s="29">
        <v>0.5</v>
      </c>
      <c r="L10" s="29">
        <v>0.5</v>
      </c>
      <c r="M10" s="29"/>
      <c r="N10" s="29"/>
      <c r="O10" s="29"/>
      <c r="P10" s="29"/>
      <c r="Q10" s="29"/>
      <c r="R10" s="30"/>
    </row>
    <row r="11" spans="2:18" x14ac:dyDescent="0.35">
      <c r="B11" s="36" t="s">
        <v>45</v>
      </c>
      <c r="C11" s="29">
        <v>0.5</v>
      </c>
      <c r="D11" s="29">
        <v>0.75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30">
        <v>1</v>
      </c>
    </row>
    <row r="12" spans="2:18" x14ac:dyDescent="0.35">
      <c r="B12" s="36" t="s">
        <v>47</v>
      </c>
      <c r="C12" s="29"/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0.5</v>
      </c>
      <c r="L12" s="29">
        <v>0.5</v>
      </c>
      <c r="M12" s="29">
        <v>0.5</v>
      </c>
      <c r="N12" s="29">
        <v>0.5</v>
      </c>
      <c r="O12" s="29">
        <v>0.5</v>
      </c>
      <c r="P12" s="29">
        <v>0.5</v>
      </c>
      <c r="Q12" s="29">
        <v>0.5</v>
      </c>
      <c r="R12" s="30">
        <v>0.5</v>
      </c>
    </row>
    <row r="13" spans="2:18" x14ac:dyDescent="0.35">
      <c r="B13" s="36" t="s">
        <v>49</v>
      </c>
      <c r="C13" s="29">
        <v>0.5</v>
      </c>
      <c r="D13" s="29">
        <v>0.5</v>
      </c>
      <c r="E13" s="29">
        <v>0.5</v>
      </c>
      <c r="F13" s="29">
        <v>0.5</v>
      </c>
      <c r="G13" s="29">
        <v>0.5</v>
      </c>
      <c r="H13" s="29">
        <v>0.5</v>
      </c>
      <c r="I13" s="29">
        <v>0.5</v>
      </c>
      <c r="J13" s="29">
        <v>0.5</v>
      </c>
      <c r="K13" s="29">
        <v>0.5</v>
      </c>
      <c r="L13" s="29">
        <v>0.5</v>
      </c>
      <c r="M13" s="29">
        <v>0.5</v>
      </c>
      <c r="N13" s="29">
        <v>0.5</v>
      </c>
      <c r="O13" s="29">
        <v>0.5</v>
      </c>
      <c r="P13" s="29">
        <v>0.5</v>
      </c>
      <c r="Q13" s="29">
        <v>0.5</v>
      </c>
      <c r="R13" s="30">
        <v>0.5</v>
      </c>
    </row>
    <row r="14" spans="2:18" x14ac:dyDescent="0.35">
      <c r="B14" s="36" t="s">
        <v>50</v>
      </c>
      <c r="C14" s="29">
        <v>0.5</v>
      </c>
      <c r="D14" s="29">
        <v>0.5</v>
      </c>
      <c r="E14" s="29">
        <v>0.5</v>
      </c>
      <c r="F14" s="29">
        <v>0.5</v>
      </c>
      <c r="G14" s="29">
        <v>0.5</v>
      </c>
      <c r="H14" s="29">
        <v>0.5</v>
      </c>
      <c r="I14" s="29">
        <v>0.5</v>
      </c>
      <c r="J14" s="29">
        <v>0.5</v>
      </c>
      <c r="K14" s="29">
        <v>0.5</v>
      </c>
      <c r="L14" s="29">
        <v>0.5</v>
      </c>
      <c r="M14" s="29">
        <v>0.5</v>
      </c>
      <c r="N14" s="29">
        <v>0.5</v>
      </c>
      <c r="O14" s="29">
        <v>0.5</v>
      </c>
      <c r="P14" s="29">
        <v>0.5</v>
      </c>
      <c r="Q14" s="29">
        <v>0.5</v>
      </c>
      <c r="R14" s="30">
        <v>0.5</v>
      </c>
    </row>
    <row r="15" spans="2:18" x14ac:dyDescent="0.35">
      <c r="B15" s="36" t="s">
        <v>52</v>
      </c>
      <c r="C15" s="29">
        <v>0.35</v>
      </c>
      <c r="D15" s="29">
        <v>0.35</v>
      </c>
      <c r="E15" s="29">
        <v>0.35</v>
      </c>
      <c r="F15" s="29">
        <v>0.35</v>
      </c>
      <c r="G15" s="29">
        <v>0.35</v>
      </c>
      <c r="H15" s="29">
        <v>0.35</v>
      </c>
      <c r="I15" s="29">
        <v>0.35</v>
      </c>
      <c r="J15" s="29">
        <v>0.35</v>
      </c>
      <c r="K15" s="29">
        <v>0.35</v>
      </c>
      <c r="L15" s="29">
        <v>0.35</v>
      </c>
      <c r="M15" s="29">
        <v>0.35</v>
      </c>
      <c r="N15" s="29">
        <v>0.35</v>
      </c>
      <c r="O15" s="29">
        <v>0.35</v>
      </c>
      <c r="P15" s="29">
        <v>0.35</v>
      </c>
      <c r="Q15" s="29">
        <v>0.35</v>
      </c>
      <c r="R15" s="30">
        <v>0.35</v>
      </c>
    </row>
    <row r="16" spans="2:18" x14ac:dyDescent="0.35">
      <c r="B16" s="36" t="s">
        <v>54</v>
      </c>
      <c r="C16" s="29">
        <v>0.25</v>
      </c>
      <c r="D16" s="29">
        <v>0.25</v>
      </c>
      <c r="E16" s="29">
        <v>0.25</v>
      </c>
      <c r="F16" s="29">
        <v>0.25</v>
      </c>
      <c r="G16" s="29">
        <v>0.25</v>
      </c>
      <c r="H16" s="29">
        <v>0.25</v>
      </c>
      <c r="I16" s="29">
        <v>0.25</v>
      </c>
      <c r="J16" s="29">
        <v>0.25</v>
      </c>
      <c r="K16" s="29">
        <v>0.25</v>
      </c>
      <c r="L16" s="29">
        <v>0.25</v>
      </c>
      <c r="M16" s="29">
        <v>0.25</v>
      </c>
      <c r="N16" s="29">
        <v>0.25</v>
      </c>
      <c r="O16" s="29">
        <v>0.25</v>
      </c>
      <c r="P16" s="29">
        <v>0.25</v>
      </c>
      <c r="Q16" s="29">
        <v>0.25</v>
      </c>
      <c r="R16" s="30">
        <v>0.25</v>
      </c>
    </row>
    <row r="17" spans="2:20" x14ac:dyDescent="0.35">
      <c r="B17" s="36" t="s">
        <v>56</v>
      </c>
      <c r="C17" s="29">
        <v>0.1</v>
      </c>
      <c r="D17" s="29">
        <v>0.1</v>
      </c>
      <c r="E17" s="29">
        <v>0.1</v>
      </c>
      <c r="F17" s="29">
        <v>0.1</v>
      </c>
      <c r="G17" s="29">
        <v>0.1</v>
      </c>
      <c r="H17" s="29">
        <v>0.1</v>
      </c>
      <c r="I17" s="29">
        <v>0.1</v>
      </c>
      <c r="J17" s="29">
        <v>0.1</v>
      </c>
      <c r="K17" s="29">
        <v>0.1</v>
      </c>
      <c r="L17" s="29">
        <v>0.1</v>
      </c>
      <c r="M17" s="29">
        <v>0.1</v>
      </c>
      <c r="N17" s="29">
        <v>0.1</v>
      </c>
      <c r="O17" s="29">
        <v>0.1</v>
      </c>
      <c r="P17" s="29">
        <v>0.1</v>
      </c>
      <c r="Q17" s="29">
        <v>0.1</v>
      </c>
      <c r="R17" s="30">
        <v>0.1</v>
      </c>
    </row>
    <row r="18" spans="2:20" ht="15" thickBot="1" x14ac:dyDescent="0.4"/>
    <row r="19" spans="2:20" x14ac:dyDescent="0.35">
      <c r="B19" s="35" t="s">
        <v>31</v>
      </c>
      <c r="C19" s="12">
        <v>46097</v>
      </c>
      <c r="D19" s="12">
        <f t="shared" ref="D19:R19" si="2">C19+7</f>
        <v>46104</v>
      </c>
      <c r="E19" s="12">
        <f t="shared" si="2"/>
        <v>46111</v>
      </c>
      <c r="F19" s="12">
        <f t="shared" si="2"/>
        <v>46118</v>
      </c>
      <c r="G19" s="12">
        <f t="shared" si="2"/>
        <v>46125</v>
      </c>
      <c r="H19" s="12">
        <f t="shared" si="2"/>
        <v>46132</v>
      </c>
      <c r="I19" s="12">
        <f t="shared" si="2"/>
        <v>46139</v>
      </c>
      <c r="J19" s="12">
        <f t="shared" si="2"/>
        <v>46146</v>
      </c>
      <c r="K19" s="12">
        <f t="shared" si="2"/>
        <v>46153</v>
      </c>
      <c r="L19" s="12">
        <f t="shared" si="2"/>
        <v>46160</v>
      </c>
      <c r="M19" s="12">
        <f t="shared" si="2"/>
        <v>46167</v>
      </c>
      <c r="N19" s="12">
        <f t="shared" si="2"/>
        <v>46174</v>
      </c>
      <c r="O19" s="12">
        <f t="shared" si="2"/>
        <v>46181</v>
      </c>
      <c r="P19" s="12">
        <f t="shared" si="2"/>
        <v>46188</v>
      </c>
      <c r="Q19" s="12">
        <f t="shared" si="2"/>
        <v>46195</v>
      </c>
      <c r="R19" s="13">
        <f t="shared" si="2"/>
        <v>46202</v>
      </c>
    </row>
    <row r="20" spans="2:20" x14ac:dyDescent="0.35">
      <c r="B20" s="36"/>
      <c r="C20" s="2">
        <v>1</v>
      </c>
      <c r="D20" s="2">
        <f t="shared" ref="D20:R20" si="3">C20+1</f>
        <v>2</v>
      </c>
      <c r="E20" s="2">
        <f t="shared" si="3"/>
        <v>3</v>
      </c>
      <c r="F20" s="2">
        <f t="shared" si="3"/>
        <v>4</v>
      </c>
      <c r="G20" s="2">
        <f t="shared" si="3"/>
        <v>5</v>
      </c>
      <c r="H20" s="2">
        <f t="shared" si="3"/>
        <v>6</v>
      </c>
      <c r="I20" s="2">
        <f t="shared" si="3"/>
        <v>7</v>
      </c>
      <c r="J20" s="2">
        <f t="shared" si="3"/>
        <v>8</v>
      </c>
      <c r="K20" s="2">
        <f t="shared" si="3"/>
        <v>9</v>
      </c>
      <c r="L20" s="2">
        <f t="shared" si="3"/>
        <v>10</v>
      </c>
      <c r="M20" s="2">
        <f t="shared" si="3"/>
        <v>11</v>
      </c>
      <c r="N20" s="2">
        <f t="shared" si="3"/>
        <v>12</v>
      </c>
      <c r="O20" s="2">
        <f t="shared" si="3"/>
        <v>13</v>
      </c>
      <c r="P20" s="2">
        <f t="shared" si="3"/>
        <v>14</v>
      </c>
      <c r="Q20" s="2">
        <f t="shared" si="3"/>
        <v>15</v>
      </c>
      <c r="R20" s="15">
        <f t="shared" si="3"/>
        <v>16</v>
      </c>
    </row>
    <row r="21" spans="2:20" x14ac:dyDescent="0.35">
      <c r="B21" s="36" t="s">
        <v>33</v>
      </c>
      <c r="C21" s="37">
        <f>C4*40*150</f>
        <v>2100</v>
      </c>
      <c r="D21" s="37">
        <f t="shared" ref="D21:R21" si="4">D4*40*150</f>
        <v>2100</v>
      </c>
      <c r="E21" s="37">
        <f t="shared" si="4"/>
        <v>2100</v>
      </c>
      <c r="F21" s="37">
        <f t="shared" si="4"/>
        <v>2100</v>
      </c>
      <c r="G21" s="37">
        <f t="shared" si="4"/>
        <v>2100</v>
      </c>
      <c r="H21" s="37">
        <f t="shared" si="4"/>
        <v>2100</v>
      </c>
      <c r="I21" s="37">
        <f t="shared" si="4"/>
        <v>2100</v>
      </c>
      <c r="J21" s="37">
        <f t="shared" si="4"/>
        <v>2100</v>
      </c>
      <c r="K21" s="37">
        <f t="shared" si="4"/>
        <v>2100</v>
      </c>
      <c r="L21" s="37">
        <f t="shared" si="4"/>
        <v>2100</v>
      </c>
      <c r="M21" s="37">
        <f t="shared" si="4"/>
        <v>2100</v>
      </c>
      <c r="N21" s="37">
        <f t="shared" si="4"/>
        <v>2100</v>
      </c>
      <c r="O21" s="37">
        <f t="shared" si="4"/>
        <v>2100</v>
      </c>
      <c r="P21" s="37">
        <f t="shared" si="4"/>
        <v>2100</v>
      </c>
      <c r="Q21" s="37">
        <f t="shared" si="4"/>
        <v>2100</v>
      </c>
      <c r="R21" s="37">
        <f t="shared" si="4"/>
        <v>2100</v>
      </c>
      <c r="T21" s="34">
        <f>SUM(C21:R21)</f>
        <v>33600</v>
      </c>
    </row>
    <row r="22" spans="2:20" x14ac:dyDescent="0.35">
      <c r="B22" s="36" t="s">
        <v>35</v>
      </c>
      <c r="C22" s="37">
        <f t="shared" ref="C22:R22" si="5">C5*40*150</f>
        <v>3000</v>
      </c>
      <c r="D22" s="37">
        <f t="shared" si="5"/>
        <v>6000</v>
      </c>
      <c r="E22" s="37">
        <f t="shared" si="5"/>
        <v>6000</v>
      </c>
      <c r="F22" s="37">
        <f t="shared" si="5"/>
        <v>6000</v>
      </c>
      <c r="G22" s="37">
        <f t="shared" si="5"/>
        <v>6000</v>
      </c>
      <c r="H22" s="37">
        <f t="shared" si="5"/>
        <v>6000</v>
      </c>
      <c r="I22" s="37">
        <f t="shared" si="5"/>
        <v>6000</v>
      </c>
      <c r="J22" s="37">
        <f t="shared" si="5"/>
        <v>6000</v>
      </c>
      <c r="K22" s="37">
        <f t="shared" si="5"/>
        <v>6000</v>
      </c>
      <c r="L22" s="37">
        <f t="shared" si="5"/>
        <v>6000</v>
      </c>
      <c r="M22" s="37">
        <f t="shared" si="5"/>
        <v>6000</v>
      </c>
      <c r="N22" s="37">
        <f t="shared" si="5"/>
        <v>6000</v>
      </c>
      <c r="O22" s="37">
        <f t="shared" si="5"/>
        <v>6000</v>
      </c>
      <c r="P22" s="37">
        <f t="shared" si="5"/>
        <v>6000</v>
      </c>
      <c r="Q22" s="37">
        <f t="shared" si="5"/>
        <v>6000</v>
      </c>
      <c r="R22" s="37">
        <f t="shared" si="5"/>
        <v>6000</v>
      </c>
      <c r="T22" s="34">
        <f t="shared" ref="T22:T34" si="6">SUM(C22:R22)</f>
        <v>93000</v>
      </c>
    </row>
    <row r="23" spans="2:20" x14ac:dyDescent="0.35">
      <c r="B23" s="36" t="s">
        <v>37</v>
      </c>
      <c r="C23" s="37">
        <f t="shared" ref="C23:R23" si="7">C6*40*150</f>
        <v>0</v>
      </c>
      <c r="D23" s="37">
        <f t="shared" si="7"/>
        <v>3000</v>
      </c>
      <c r="E23" s="37">
        <f t="shared" si="7"/>
        <v>3000</v>
      </c>
      <c r="F23" s="37">
        <f t="shared" si="7"/>
        <v>3000</v>
      </c>
      <c r="G23" s="37">
        <f t="shared" si="7"/>
        <v>3000</v>
      </c>
      <c r="H23" s="37">
        <f t="shared" si="7"/>
        <v>3000</v>
      </c>
      <c r="I23" s="37">
        <f t="shared" si="7"/>
        <v>3000</v>
      </c>
      <c r="J23" s="37">
        <f t="shared" si="7"/>
        <v>3000</v>
      </c>
      <c r="K23" s="37">
        <f t="shared" si="7"/>
        <v>3000</v>
      </c>
      <c r="L23" s="37">
        <f t="shared" si="7"/>
        <v>3000</v>
      </c>
      <c r="M23" s="37">
        <f t="shared" si="7"/>
        <v>0</v>
      </c>
      <c r="N23" s="37">
        <f t="shared" si="7"/>
        <v>0</v>
      </c>
      <c r="O23" s="37">
        <f t="shared" si="7"/>
        <v>0</v>
      </c>
      <c r="P23" s="37">
        <f t="shared" si="7"/>
        <v>0</v>
      </c>
      <c r="Q23" s="37">
        <f t="shared" si="7"/>
        <v>0</v>
      </c>
      <c r="R23" s="37">
        <f t="shared" si="7"/>
        <v>0</v>
      </c>
      <c r="T23" s="34">
        <f t="shared" si="6"/>
        <v>27000</v>
      </c>
    </row>
    <row r="24" spans="2:20" x14ac:dyDescent="0.35">
      <c r="B24" s="36" t="s">
        <v>39</v>
      </c>
      <c r="C24" s="37">
        <f t="shared" ref="C24:R24" si="8">C7*40*150</f>
        <v>1500</v>
      </c>
      <c r="D24" s="37">
        <f t="shared" si="8"/>
        <v>6000</v>
      </c>
      <c r="E24" s="37">
        <f t="shared" si="8"/>
        <v>6000</v>
      </c>
      <c r="F24" s="37">
        <f t="shared" si="8"/>
        <v>6000</v>
      </c>
      <c r="G24" s="37">
        <f t="shared" si="8"/>
        <v>6000</v>
      </c>
      <c r="H24" s="37">
        <f t="shared" si="8"/>
        <v>6000</v>
      </c>
      <c r="I24" s="37">
        <f t="shared" si="8"/>
        <v>6000</v>
      </c>
      <c r="J24" s="37">
        <f t="shared" si="8"/>
        <v>6000</v>
      </c>
      <c r="K24" s="37">
        <f t="shared" si="8"/>
        <v>6000</v>
      </c>
      <c r="L24" s="37">
        <f t="shared" si="8"/>
        <v>6000</v>
      </c>
      <c r="M24" s="37">
        <f t="shared" si="8"/>
        <v>6000</v>
      </c>
      <c r="N24" s="37">
        <f t="shared" si="8"/>
        <v>6000</v>
      </c>
      <c r="O24" s="37">
        <f t="shared" si="8"/>
        <v>6000</v>
      </c>
      <c r="P24" s="37">
        <f t="shared" si="8"/>
        <v>6000</v>
      </c>
      <c r="Q24" s="37">
        <f t="shared" si="8"/>
        <v>6000</v>
      </c>
      <c r="R24" s="37">
        <f t="shared" si="8"/>
        <v>6000</v>
      </c>
      <c r="T24" s="34">
        <f t="shared" si="6"/>
        <v>91500</v>
      </c>
    </row>
    <row r="25" spans="2:20" x14ac:dyDescent="0.35">
      <c r="B25" s="36" t="s">
        <v>41</v>
      </c>
      <c r="C25" s="37">
        <f t="shared" ref="C25:R25" si="9">C8*40*150</f>
        <v>0</v>
      </c>
      <c r="D25" s="37">
        <f t="shared" si="9"/>
        <v>3000</v>
      </c>
      <c r="E25" s="37">
        <f t="shared" si="9"/>
        <v>3000</v>
      </c>
      <c r="F25" s="37">
        <f t="shared" si="9"/>
        <v>3000</v>
      </c>
      <c r="G25" s="37">
        <f t="shared" si="9"/>
        <v>3000</v>
      </c>
      <c r="H25" s="37">
        <f t="shared" si="9"/>
        <v>3000</v>
      </c>
      <c r="I25" s="37">
        <f t="shared" si="9"/>
        <v>3000</v>
      </c>
      <c r="J25" s="37">
        <f t="shared" si="9"/>
        <v>3000</v>
      </c>
      <c r="K25" s="37">
        <f t="shared" si="9"/>
        <v>3000</v>
      </c>
      <c r="L25" s="37">
        <f t="shared" si="9"/>
        <v>3000</v>
      </c>
      <c r="M25" s="37">
        <f t="shared" si="9"/>
        <v>1500</v>
      </c>
      <c r="N25" s="37">
        <f t="shared" si="9"/>
        <v>1500</v>
      </c>
      <c r="O25" s="37">
        <f t="shared" si="9"/>
        <v>1500</v>
      </c>
      <c r="P25" s="37">
        <f t="shared" si="9"/>
        <v>1500</v>
      </c>
      <c r="Q25" s="37">
        <f t="shared" si="9"/>
        <v>0</v>
      </c>
      <c r="R25" s="37">
        <f t="shared" si="9"/>
        <v>0</v>
      </c>
      <c r="T25" s="34">
        <f t="shared" si="6"/>
        <v>33000</v>
      </c>
    </row>
    <row r="26" spans="2:20" x14ac:dyDescent="0.35">
      <c r="B26" s="36" t="s">
        <v>42</v>
      </c>
      <c r="C26" s="37">
        <f t="shared" ref="C26:R26" si="10">C9*40*150</f>
        <v>0</v>
      </c>
      <c r="D26" s="37">
        <f t="shared" si="10"/>
        <v>0</v>
      </c>
      <c r="E26" s="37">
        <f t="shared" si="10"/>
        <v>0</v>
      </c>
      <c r="F26" s="37">
        <f t="shared" si="10"/>
        <v>6000</v>
      </c>
      <c r="G26" s="37">
        <f t="shared" si="10"/>
        <v>6000</v>
      </c>
      <c r="H26" s="37">
        <f t="shared" si="10"/>
        <v>6000</v>
      </c>
      <c r="I26" s="37">
        <f t="shared" si="10"/>
        <v>6000</v>
      </c>
      <c r="J26" s="37">
        <f t="shared" si="10"/>
        <v>6000</v>
      </c>
      <c r="K26" s="37">
        <f t="shared" si="10"/>
        <v>6000</v>
      </c>
      <c r="L26" s="37">
        <f t="shared" si="10"/>
        <v>6000</v>
      </c>
      <c r="M26" s="37">
        <f t="shared" si="10"/>
        <v>3000</v>
      </c>
      <c r="N26" s="37">
        <f t="shared" si="10"/>
        <v>3000</v>
      </c>
      <c r="O26" s="37">
        <f t="shared" si="10"/>
        <v>3000</v>
      </c>
      <c r="P26" s="37">
        <f t="shared" si="10"/>
        <v>3000</v>
      </c>
      <c r="Q26" s="37">
        <f t="shared" si="10"/>
        <v>3000</v>
      </c>
      <c r="R26" s="37">
        <f t="shared" si="10"/>
        <v>3000</v>
      </c>
      <c r="T26" s="34">
        <f t="shared" si="6"/>
        <v>60000</v>
      </c>
    </row>
    <row r="27" spans="2:20" x14ac:dyDescent="0.35">
      <c r="B27" s="36" t="s">
        <v>43</v>
      </c>
      <c r="C27" s="37">
        <f t="shared" ref="C27:R27" si="11">C10*40*150</f>
        <v>0</v>
      </c>
      <c r="D27" s="37">
        <f t="shared" si="11"/>
        <v>0</v>
      </c>
      <c r="E27" s="37">
        <f t="shared" si="11"/>
        <v>0</v>
      </c>
      <c r="F27" s="37">
        <f t="shared" si="11"/>
        <v>3000</v>
      </c>
      <c r="G27" s="37">
        <f t="shared" si="11"/>
        <v>3000</v>
      </c>
      <c r="H27" s="37">
        <f t="shared" si="11"/>
        <v>3000</v>
      </c>
      <c r="I27" s="37">
        <f t="shared" si="11"/>
        <v>3000</v>
      </c>
      <c r="J27" s="37">
        <f t="shared" si="11"/>
        <v>3000</v>
      </c>
      <c r="K27" s="37">
        <f t="shared" si="11"/>
        <v>3000</v>
      </c>
      <c r="L27" s="37">
        <f t="shared" si="11"/>
        <v>3000</v>
      </c>
      <c r="M27" s="37">
        <f t="shared" si="11"/>
        <v>0</v>
      </c>
      <c r="N27" s="37">
        <f t="shared" si="11"/>
        <v>0</v>
      </c>
      <c r="O27" s="37">
        <f t="shared" si="11"/>
        <v>0</v>
      </c>
      <c r="P27" s="37">
        <f t="shared" si="11"/>
        <v>0</v>
      </c>
      <c r="Q27" s="37">
        <f t="shared" si="11"/>
        <v>0</v>
      </c>
      <c r="R27" s="37">
        <f t="shared" si="11"/>
        <v>0</v>
      </c>
      <c r="T27" s="34">
        <f t="shared" si="6"/>
        <v>21000</v>
      </c>
    </row>
    <row r="28" spans="2:20" x14ac:dyDescent="0.35">
      <c r="B28" s="36" t="s">
        <v>45</v>
      </c>
      <c r="C28" s="37">
        <f t="shared" ref="C28:R28" si="12">C11*40*150</f>
        <v>3000</v>
      </c>
      <c r="D28" s="37">
        <f t="shared" si="12"/>
        <v>4500</v>
      </c>
      <c r="E28" s="37">
        <f t="shared" si="12"/>
        <v>6000</v>
      </c>
      <c r="F28" s="37">
        <f t="shared" si="12"/>
        <v>6000</v>
      </c>
      <c r="G28" s="37">
        <f t="shared" si="12"/>
        <v>6000</v>
      </c>
      <c r="H28" s="37">
        <f t="shared" si="12"/>
        <v>6000</v>
      </c>
      <c r="I28" s="37">
        <f t="shared" si="12"/>
        <v>6000</v>
      </c>
      <c r="J28" s="37">
        <f t="shared" si="12"/>
        <v>6000</v>
      </c>
      <c r="K28" s="37">
        <f t="shared" si="12"/>
        <v>6000</v>
      </c>
      <c r="L28" s="37">
        <f t="shared" si="12"/>
        <v>6000</v>
      </c>
      <c r="M28" s="37">
        <f t="shared" si="12"/>
        <v>6000</v>
      </c>
      <c r="N28" s="37">
        <f t="shared" si="12"/>
        <v>6000</v>
      </c>
      <c r="O28" s="37">
        <f t="shared" si="12"/>
        <v>6000</v>
      </c>
      <c r="P28" s="37">
        <f t="shared" si="12"/>
        <v>6000</v>
      </c>
      <c r="Q28" s="37">
        <f t="shared" si="12"/>
        <v>6000</v>
      </c>
      <c r="R28" s="37">
        <f t="shared" si="12"/>
        <v>6000</v>
      </c>
      <c r="T28" s="34">
        <f t="shared" si="6"/>
        <v>91500</v>
      </c>
    </row>
    <row r="29" spans="2:20" x14ac:dyDescent="0.35">
      <c r="B29" s="36" t="s">
        <v>47</v>
      </c>
      <c r="C29" s="37">
        <f t="shared" ref="C29:R29" si="13">C12*40*150</f>
        <v>0</v>
      </c>
      <c r="D29" s="37">
        <f t="shared" si="13"/>
        <v>6000</v>
      </c>
      <c r="E29" s="37">
        <f t="shared" si="13"/>
        <v>6000</v>
      </c>
      <c r="F29" s="37">
        <f t="shared" si="13"/>
        <v>6000</v>
      </c>
      <c r="G29" s="37">
        <f t="shared" si="13"/>
        <v>6000</v>
      </c>
      <c r="H29" s="37">
        <f t="shared" si="13"/>
        <v>6000</v>
      </c>
      <c r="I29" s="37">
        <f t="shared" si="13"/>
        <v>6000</v>
      </c>
      <c r="J29" s="37">
        <f t="shared" si="13"/>
        <v>6000</v>
      </c>
      <c r="K29" s="37">
        <f t="shared" si="13"/>
        <v>3000</v>
      </c>
      <c r="L29" s="37">
        <f t="shared" si="13"/>
        <v>3000</v>
      </c>
      <c r="M29" s="37">
        <f t="shared" si="13"/>
        <v>3000</v>
      </c>
      <c r="N29" s="37">
        <f t="shared" si="13"/>
        <v>3000</v>
      </c>
      <c r="O29" s="37">
        <f t="shared" si="13"/>
        <v>3000</v>
      </c>
      <c r="P29" s="37">
        <f t="shared" si="13"/>
        <v>3000</v>
      </c>
      <c r="Q29" s="37">
        <f t="shared" si="13"/>
        <v>3000</v>
      </c>
      <c r="R29" s="37">
        <f t="shared" si="13"/>
        <v>3000</v>
      </c>
      <c r="T29" s="34">
        <f t="shared" si="6"/>
        <v>66000</v>
      </c>
    </row>
    <row r="30" spans="2:20" x14ac:dyDescent="0.35">
      <c r="B30" s="36" t="s">
        <v>49</v>
      </c>
      <c r="C30" s="37">
        <f t="shared" ref="C30:R30" si="14">C13*40*150</f>
        <v>3000</v>
      </c>
      <c r="D30" s="37">
        <f t="shared" si="14"/>
        <v>3000</v>
      </c>
      <c r="E30" s="37">
        <f t="shared" si="14"/>
        <v>3000</v>
      </c>
      <c r="F30" s="37">
        <f t="shared" si="14"/>
        <v>3000</v>
      </c>
      <c r="G30" s="37">
        <f t="shared" si="14"/>
        <v>3000</v>
      </c>
      <c r="H30" s="37">
        <f t="shared" si="14"/>
        <v>3000</v>
      </c>
      <c r="I30" s="37">
        <f t="shared" si="14"/>
        <v>3000</v>
      </c>
      <c r="J30" s="37">
        <f t="shared" si="14"/>
        <v>3000</v>
      </c>
      <c r="K30" s="37">
        <f t="shared" si="14"/>
        <v>3000</v>
      </c>
      <c r="L30" s="37">
        <f t="shared" si="14"/>
        <v>3000</v>
      </c>
      <c r="M30" s="37">
        <f t="shared" si="14"/>
        <v>3000</v>
      </c>
      <c r="N30" s="37">
        <f t="shared" si="14"/>
        <v>3000</v>
      </c>
      <c r="O30" s="37">
        <f t="shared" si="14"/>
        <v>3000</v>
      </c>
      <c r="P30" s="37">
        <f t="shared" si="14"/>
        <v>3000</v>
      </c>
      <c r="Q30" s="37">
        <f t="shared" si="14"/>
        <v>3000</v>
      </c>
      <c r="R30" s="37">
        <f t="shared" si="14"/>
        <v>3000</v>
      </c>
      <c r="T30" s="34">
        <f t="shared" si="6"/>
        <v>48000</v>
      </c>
    </row>
    <row r="31" spans="2:20" x14ac:dyDescent="0.35">
      <c r="B31" s="36" t="s">
        <v>50</v>
      </c>
      <c r="C31" s="37">
        <f t="shared" ref="C31:R31" si="15">C14*40*150</f>
        <v>3000</v>
      </c>
      <c r="D31" s="37">
        <f t="shared" si="15"/>
        <v>3000</v>
      </c>
      <c r="E31" s="37">
        <f t="shared" si="15"/>
        <v>3000</v>
      </c>
      <c r="F31" s="37">
        <f t="shared" si="15"/>
        <v>3000</v>
      </c>
      <c r="G31" s="37">
        <f t="shared" si="15"/>
        <v>3000</v>
      </c>
      <c r="H31" s="37">
        <f t="shared" si="15"/>
        <v>3000</v>
      </c>
      <c r="I31" s="37">
        <f t="shared" si="15"/>
        <v>3000</v>
      </c>
      <c r="J31" s="37">
        <f t="shared" si="15"/>
        <v>3000</v>
      </c>
      <c r="K31" s="37">
        <f t="shared" si="15"/>
        <v>3000</v>
      </c>
      <c r="L31" s="37">
        <f t="shared" si="15"/>
        <v>3000</v>
      </c>
      <c r="M31" s="37">
        <f t="shared" si="15"/>
        <v>3000</v>
      </c>
      <c r="N31" s="37">
        <f t="shared" si="15"/>
        <v>3000</v>
      </c>
      <c r="O31" s="37">
        <f t="shared" si="15"/>
        <v>3000</v>
      </c>
      <c r="P31" s="37">
        <f t="shared" si="15"/>
        <v>3000</v>
      </c>
      <c r="Q31" s="37">
        <f t="shared" si="15"/>
        <v>3000</v>
      </c>
      <c r="R31" s="37">
        <f t="shared" si="15"/>
        <v>3000</v>
      </c>
      <c r="T31" s="34">
        <f t="shared" si="6"/>
        <v>48000</v>
      </c>
    </row>
    <row r="32" spans="2:20" x14ac:dyDescent="0.35">
      <c r="B32" s="36" t="s">
        <v>52</v>
      </c>
      <c r="C32" s="37">
        <f t="shared" ref="C32:R32" si="16">C15*40*150</f>
        <v>2100</v>
      </c>
      <c r="D32" s="37">
        <f t="shared" si="16"/>
        <v>2100</v>
      </c>
      <c r="E32" s="37">
        <f t="shared" si="16"/>
        <v>2100</v>
      </c>
      <c r="F32" s="37">
        <f t="shared" si="16"/>
        <v>2100</v>
      </c>
      <c r="G32" s="37">
        <f t="shared" si="16"/>
        <v>2100</v>
      </c>
      <c r="H32" s="37">
        <f t="shared" si="16"/>
        <v>2100</v>
      </c>
      <c r="I32" s="37">
        <f t="shared" si="16"/>
        <v>2100</v>
      </c>
      <c r="J32" s="37">
        <f t="shared" si="16"/>
        <v>2100</v>
      </c>
      <c r="K32" s="37">
        <f t="shared" si="16"/>
        <v>2100</v>
      </c>
      <c r="L32" s="37">
        <f t="shared" si="16"/>
        <v>2100</v>
      </c>
      <c r="M32" s="37">
        <f t="shared" si="16"/>
        <v>2100</v>
      </c>
      <c r="N32" s="37">
        <f t="shared" si="16"/>
        <v>2100</v>
      </c>
      <c r="O32" s="37">
        <f t="shared" si="16"/>
        <v>2100</v>
      </c>
      <c r="P32" s="37">
        <f t="shared" si="16"/>
        <v>2100</v>
      </c>
      <c r="Q32" s="37">
        <f t="shared" si="16"/>
        <v>2100</v>
      </c>
      <c r="R32" s="37">
        <f t="shared" si="16"/>
        <v>2100</v>
      </c>
      <c r="T32" s="34">
        <f t="shared" si="6"/>
        <v>33600</v>
      </c>
    </row>
    <row r="33" spans="2:20" x14ac:dyDescent="0.35">
      <c r="B33" s="36" t="s">
        <v>54</v>
      </c>
      <c r="C33" s="37">
        <f t="shared" ref="C33:R33" si="17">C16*40*150</f>
        <v>1500</v>
      </c>
      <c r="D33" s="37">
        <f t="shared" si="17"/>
        <v>1500</v>
      </c>
      <c r="E33" s="37">
        <f t="shared" si="17"/>
        <v>1500</v>
      </c>
      <c r="F33" s="37">
        <f t="shared" si="17"/>
        <v>1500</v>
      </c>
      <c r="G33" s="37">
        <f t="shared" si="17"/>
        <v>1500</v>
      </c>
      <c r="H33" s="37">
        <f t="shared" si="17"/>
        <v>1500</v>
      </c>
      <c r="I33" s="37">
        <f t="shared" si="17"/>
        <v>1500</v>
      </c>
      <c r="J33" s="37">
        <f t="shared" si="17"/>
        <v>1500</v>
      </c>
      <c r="K33" s="37">
        <f t="shared" si="17"/>
        <v>1500</v>
      </c>
      <c r="L33" s="37">
        <f t="shared" si="17"/>
        <v>1500</v>
      </c>
      <c r="M33" s="37">
        <f t="shared" si="17"/>
        <v>1500</v>
      </c>
      <c r="N33" s="37">
        <f t="shared" si="17"/>
        <v>1500</v>
      </c>
      <c r="O33" s="37">
        <f t="shared" si="17"/>
        <v>1500</v>
      </c>
      <c r="P33" s="37">
        <f t="shared" si="17"/>
        <v>1500</v>
      </c>
      <c r="Q33" s="37">
        <f t="shared" si="17"/>
        <v>1500</v>
      </c>
      <c r="R33" s="37">
        <f t="shared" si="17"/>
        <v>1500</v>
      </c>
      <c r="T33" s="34">
        <f t="shared" si="6"/>
        <v>24000</v>
      </c>
    </row>
    <row r="34" spans="2:20" x14ac:dyDescent="0.35">
      <c r="B34" s="36" t="s">
        <v>56</v>
      </c>
      <c r="C34" s="37">
        <f t="shared" ref="C34:R34" si="18">C17*40*150</f>
        <v>600</v>
      </c>
      <c r="D34" s="37">
        <f t="shared" si="18"/>
        <v>600</v>
      </c>
      <c r="E34" s="37">
        <f t="shared" si="18"/>
        <v>600</v>
      </c>
      <c r="F34" s="37">
        <f t="shared" si="18"/>
        <v>600</v>
      </c>
      <c r="G34" s="37">
        <f t="shared" si="18"/>
        <v>600</v>
      </c>
      <c r="H34" s="37">
        <f t="shared" si="18"/>
        <v>600</v>
      </c>
      <c r="I34" s="37">
        <f t="shared" si="18"/>
        <v>600</v>
      </c>
      <c r="J34" s="37">
        <f t="shared" si="18"/>
        <v>600</v>
      </c>
      <c r="K34" s="37">
        <f t="shared" si="18"/>
        <v>600</v>
      </c>
      <c r="L34" s="37">
        <f t="shared" si="18"/>
        <v>600</v>
      </c>
      <c r="M34" s="37">
        <f t="shared" si="18"/>
        <v>600</v>
      </c>
      <c r="N34" s="37">
        <f t="shared" si="18"/>
        <v>600</v>
      </c>
      <c r="O34" s="37">
        <f t="shared" si="18"/>
        <v>600</v>
      </c>
      <c r="P34" s="37">
        <f t="shared" si="18"/>
        <v>600</v>
      </c>
      <c r="Q34" s="37">
        <f t="shared" si="18"/>
        <v>600</v>
      </c>
      <c r="R34" s="37">
        <f t="shared" si="18"/>
        <v>600</v>
      </c>
      <c r="T34" s="34">
        <f t="shared" si="6"/>
        <v>9600</v>
      </c>
    </row>
    <row r="35" spans="2:20" x14ac:dyDescent="0.35">
      <c r="T35" s="34">
        <f>SUM(T21:T34)</f>
        <v>679800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7876-DC2B-4A51-9314-8FA6CA4D85C6}">
  <dimension ref="B3:U20"/>
  <sheetViews>
    <sheetView topLeftCell="B1" workbookViewId="0">
      <selection activeCell="F14" sqref="F14"/>
    </sheetView>
  </sheetViews>
  <sheetFormatPr defaultRowHeight="14.5" x14ac:dyDescent="0.35"/>
  <cols>
    <col min="2" max="2" width="29.54296875" customWidth="1"/>
    <col min="3" max="4" width="19.1796875" customWidth="1"/>
    <col min="5" max="7" width="7.1796875" bestFit="1" customWidth="1"/>
    <col min="8" max="8" width="5.7265625" bestFit="1" customWidth="1"/>
    <col min="9" max="11" width="6.7265625" bestFit="1" customWidth="1"/>
    <col min="12" max="12" width="6.26953125" bestFit="1" customWidth="1"/>
    <col min="13" max="15" width="7.26953125" bestFit="1" customWidth="1"/>
    <col min="16" max="17" width="5.7265625" bestFit="1" customWidth="1"/>
    <col min="18" max="20" width="6.7265625" bestFit="1" customWidth="1"/>
  </cols>
  <sheetData>
    <row r="3" spans="2:21" ht="15" thickBot="1" x14ac:dyDescent="0.4">
      <c r="S3" s="42" t="s">
        <v>60</v>
      </c>
      <c r="T3" s="42"/>
      <c r="U3" s="42" t="s">
        <v>27</v>
      </c>
    </row>
    <row r="4" spans="2:21" x14ac:dyDescent="0.35">
      <c r="B4" s="11" t="s">
        <v>30</v>
      </c>
      <c r="C4" s="27" t="s">
        <v>61</v>
      </c>
      <c r="D4" s="27" t="s">
        <v>31</v>
      </c>
      <c r="E4" s="12">
        <v>46097</v>
      </c>
      <c r="F4" s="12">
        <f t="shared" ref="F4:S4" si="0">E4+7</f>
        <v>46104</v>
      </c>
      <c r="G4" s="12">
        <f t="shared" si="0"/>
        <v>46111</v>
      </c>
      <c r="H4" s="12">
        <f t="shared" si="0"/>
        <v>46118</v>
      </c>
      <c r="I4" s="12">
        <f t="shared" si="0"/>
        <v>46125</v>
      </c>
      <c r="J4" s="12">
        <f t="shared" si="0"/>
        <v>46132</v>
      </c>
      <c r="K4" s="12">
        <f t="shared" si="0"/>
        <v>46139</v>
      </c>
      <c r="L4" s="12">
        <f t="shared" si="0"/>
        <v>46146</v>
      </c>
      <c r="M4" s="12">
        <f t="shared" si="0"/>
        <v>46153</v>
      </c>
      <c r="N4" s="12">
        <f t="shared" si="0"/>
        <v>46160</v>
      </c>
      <c r="O4" s="12">
        <f t="shared" si="0"/>
        <v>46167</v>
      </c>
      <c r="P4" s="12">
        <f t="shared" si="0"/>
        <v>46174</v>
      </c>
      <c r="Q4" s="12">
        <f t="shared" si="0"/>
        <v>46181</v>
      </c>
      <c r="R4" s="12">
        <f t="shared" si="0"/>
        <v>46188</v>
      </c>
      <c r="S4" s="12">
        <f t="shared" si="0"/>
        <v>46195</v>
      </c>
      <c r="T4" s="13">
        <f>S4+7</f>
        <v>46202</v>
      </c>
      <c r="U4" s="13">
        <f>T4+7</f>
        <v>46209</v>
      </c>
    </row>
    <row r="5" spans="2:21" x14ac:dyDescent="0.35">
      <c r="B5" s="17"/>
      <c r="C5" s="39"/>
      <c r="D5" s="28"/>
      <c r="E5" s="2">
        <v>1</v>
      </c>
      <c r="F5" s="2">
        <f t="shared" ref="F5:S5" si="1">E5+1</f>
        <v>2</v>
      </c>
      <c r="G5" s="2">
        <f t="shared" si="1"/>
        <v>3</v>
      </c>
      <c r="H5" s="2">
        <f t="shared" si="1"/>
        <v>4</v>
      </c>
      <c r="I5" s="2">
        <f t="shared" si="1"/>
        <v>5</v>
      </c>
      <c r="J5" s="2">
        <f t="shared" si="1"/>
        <v>6</v>
      </c>
      <c r="K5" s="2">
        <f t="shared" si="1"/>
        <v>7</v>
      </c>
      <c r="L5" s="2">
        <f t="shared" si="1"/>
        <v>8</v>
      </c>
      <c r="M5" s="2">
        <f t="shared" si="1"/>
        <v>9</v>
      </c>
      <c r="N5" s="2">
        <f t="shared" si="1"/>
        <v>10</v>
      </c>
      <c r="O5" s="2">
        <f t="shared" si="1"/>
        <v>11</v>
      </c>
      <c r="P5" s="2">
        <f t="shared" si="1"/>
        <v>12</v>
      </c>
      <c r="Q5" s="2">
        <f t="shared" si="1"/>
        <v>13</v>
      </c>
      <c r="R5" s="2">
        <f t="shared" si="1"/>
        <v>14</v>
      </c>
      <c r="S5" s="2">
        <f t="shared" si="1"/>
        <v>15</v>
      </c>
      <c r="T5" s="15">
        <f>S5+1</f>
        <v>16</v>
      </c>
      <c r="U5" s="15">
        <f>T5+1</f>
        <v>17</v>
      </c>
    </row>
    <row r="6" spans="2:21" x14ac:dyDescent="0.35">
      <c r="B6" s="17" t="s">
        <v>32</v>
      </c>
      <c r="C6" s="40">
        <f>SUM(E6:Z6)*40*150</f>
        <v>34499.999999999993</v>
      </c>
      <c r="D6" s="28" t="s">
        <v>33</v>
      </c>
      <c r="E6" s="29">
        <v>0.35</v>
      </c>
      <c r="F6" s="29">
        <v>0.35</v>
      </c>
      <c r="G6" s="29">
        <v>0.35</v>
      </c>
      <c r="H6" s="29">
        <v>0.35</v>
      </c>
      <c r="I6" s="29">
        <v>0.35</v>
      </c>
      <c r="J6" s="29">
        <v>0.35</v>
      </c>
      <c r="K6" s="29">
        <v>0.35</v>
      </c>
      <c r="L6" s="29">
        <v>0.35</v>
      </c>
      <c r="M6" s="29">
        <v>0.35</v>
      </c>
      <c r="N6" s="29">
        <v>0.35</v>
      </c>
      <c r="O6" s="29">
        <v>0.35</v>
      </c>
      <c r="P6" s="29">
        <v>0.35</v>
      </c>
      <c r="Q6" s="29">
        <v>0.35</v>
      </c>
      <c r="R6" s="29">
        <v>0.35</v>
      </c>
      <c r="S6" s="29">
        <v>0.35</v>
      </c>
      <c r="T6" s="30">
        <v>0.35</v>
      </c>
      <c r="U6" s="30">
        <v>0.15</v>
      </c>
    </row>
    <row r="7" spans="2:21" x14ac:dyDescent="0.35">
      <c r="B7" s="17" t="s">
        <v>34</v>
      </c>
      <c r="C7" s="40">
        <f t="shared" ref="C7:C19" si="2">SUM(E7:Z7)*40*150</f>
        <v>93000</v>
      </c>
      <c r="D7" s="28" t="s">
        <v>35</v>
      </c>
      <c r="E7" s="29">
        <v>0.5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30">
        <v>1</v>
      </c>
    </row>
    <row r="8" spans="2:21" x14ac:dyDescent="0.35">
      <c r="B8" s="17" t="s">
        <v>36</v>
      </c>
      <c r="C8" s="40">
        <f t="shared" si="2"/>
        <v>27000</v>
      </c>
      <c r="D8" s="28" t="s">
        <v>37</v>
      </c>
      <c r="E8" s="29"/>
      <c r="F8" s="29">
        <v>0.5</v>
      </c>
      <c r="G8" s="29">
        <v>0.5</v>
      </c>
      <c r="H8" s="29">
        <v>0.5</v>
      </c>
      <c r="I8" s="29">
        <v>0.5</v>
      </c>
      <c r="J8" s="29">
        <v>0.5</v>
      </c>
      <c r="K8" s="29">
        <v>0.5</v>
      </c>
      <c r="L8" s="29">
        <v>0.5</v>
      </c>
      <c r="M8" s="29">
        <v>0.5</v>
      </c>
      <c r="N8" s="29">
        <v>0.5</v>
      </c>
      <c r="O8" s="29"/>
      <c r="P8" s="29"/>
      <c r="Q8" s="29"/>
      <c r="R8" s="29"/>
      <c r="S8" s="29"/>
      <c r="T8" s="30"/>
    </row>
    <row r="9" spans="2:21" x14ac:dyDescent="0.35">
      <c r="B9" s="17" t="s">
        <v>38</v>
      </c>
      <c r="C9" s="40">
        <f t="shared" si="2"/>
        <v>91500</v>
      </c>
      <c r="D9" s="28" t="s">
        <v>39</v>
      </c>
      <c r="E9" s="29">
        <v>0.25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30">
        <v>1</v>
      </c>
    </row>
    <row r="10" spans="2:21" x14ac:dyDescent="0.35">
      <c r="B10" s="17" t="s">
        <v>40</v>
      </c>
      <c r="C10" s="40">
        <f t="shared" si="2"/>
        <v>33000</v>
      </c>
      <c r="D10" s="28" t="s">
        <v>41</v>
      </c>
      <c r="E10" s="29"/>
      <c r="F10" s="29">
        <v>0.5</v>
      </c>
      <c r="G10" s="29">
        <v>0.5</v>
      </c>
      <c r="H10" s="29">
        <v>0.5</v>
      </c>
      <c r="I10" s="29">
        <v>0.5</v>
      </c>
      <c r="J10" s="29">
        <v>0.5</v>
      </c>
      <c r="K10" s="29">
        <v>0.5</v>
      </c>
      <c r="L10" s="29">
        <v>0.5</v>
      </c>
      <c r="M10" s="29">
        <v>0.5</v>
      </c>
      <c r="N10" s="29">
        <v>0.5</v>
      </c>
      <c r="O10" s="29">
        <v>0.25</v>
      </c>
      <c r="P10" s="29">
        <v>0.25</v>
      </c>
      <c r="Q10" s="29">
        <v>0.25</v>
      </c>
      <c r="R10" s="29">
        <v>0.25</v>
      </c>
      <c r="S10" s="29"/>
      <c r="T10" s="30"/>
    </row>
    <row r="11" spans="2:21" x14ac:dyDescent="0.35">
      <c r="B11" s="17" t="s">
        <v>62</v>
      </c>
      <c r="C11" s="40">
        <f t="shared" si="2"/>
        <v>60000</v>
      </c>
      <c r="D11" s="28" t="s">
        <v>42</v>
      </c>
      <c r="E11" s="29"/>
      <c r="F11" s="29"/>
      <c r="G11" s="29"/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0.5</v>
      </c>
      <c r="P11" s="29">
        <v>0.5</v>
      </c>
      <c r="Q11" s="29">
        <v>0.5</v>
      </c>
      <c r="R11" s="29">
        <v>0.5</v>
      </c>
      <c r="S11" s="29">
        <v>0.5</v>
      </c>
      <c r="T11" s="30">
        <v>0.5</v>
      </c>
    </row>
    <row r="12" spans="2:21" x14ac:dyDescent="0.35">
      <c r="B12" s="17" t="s">
        <v>62</v>
      </c>
      <c r="C12" s="40">
        <f t="shared" si="2"/>
        <v>21000</v>
      </c>
      <c r="D12" s="28" t="s">
        <v>43</v>
      </c>
      <c r="E12" s="29"/>
      <c r="F12" s="29"/>
      <c r="G12" s="29"/>
      <c r="H12" s="29">
        <v>0.5</v>
      </c>
      <c r="I12" s="29">
        <v>0.5</v>
      </c>
      <c r="J12" s="29">
        <v>0.5</v>
      </c>
      <c r="K12" s="29">
        <v>0.5</v>
      </c>
      <c r="L12" s="29">
        <v>0.5</v>
      </c>
      <c r="M12" s="29">
        <v>0.5</v>
      </c>
      <c r="N12" s="29">
        <v>0.5</v>
      </c>
      <c r="O12" s="29"/>
      <c r="P12" s="29"/>
      <c r="Q12" s="29"/>
      <c r="R12" s="29"/>
      <c r="S12" s="29"/>
      <c r="T12" s="30"/>
    </row>
    <row r="13" spans="2:21" x14ac:dyDescent="0.35">
      <c r="B13" s="17" t="s">
        <v>44</v>
      </c>
      <c r="C13" s="40">
        <f t="shared" si="2"/>
        <v>91500</v>
      </c>
      <c r="D13" s="28" t="s">
        <v>45</v>
      </c>
      <c r="E13" s="29">
        <v>0.5</v>
      </c>
      <c r="F13" s="29">
        <v>0.75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30">
        <v>1</v>
      </c>
    </row>
    <row r="14" spans="2:21" x14ac:dyDescent="0.35">
      <c r="B14" s="38" t="s">
        <v>46</v>
      </c>
      <c r="C14" s="40">
        <f t="shared" si="2"/>
        <v>66000</v>
      </c>
      <c r="D14" s="28" t="s">
        <v>47</v>
      </c>
      <c r="E14" s="29"/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0.5</v>
      </c>
      <c r="N14" s="29">
        <v>0.5</v>
      </c>
      <c r="O14" s="29">
        <v>0.5</v>
      </c>
      <c r="P14" s="29">
        <v>0.5</v>
      </c>
      <c r="Q14" s="29">
        <v>0.5</v>
      </c>
      <c r="R14" s="29">
        <v>0.5</v>
      </c>
      <c r="S14" s="29">
        <v>0.5</v>
      </c>
      <c r="T14" s="30">
        <v>0.5</v>
      </c>
    </row>
    <row r="15" spans="2:21" x14ac:dyDescent="0.35">
      <c r="B15" s="17" t="s">
        <v>48</v>
      </c>
      <c r="C15" s="40">
        <f t="shared" si="2"/>
        <v>48000</v>
      </c>
      <c r="D15" s="28" t="s">
        <v>49</v>
      </c>
      <c r="E15" s="29">
        <v>0.5</v>
      </c>
      <c r="F15" s="29">
        <v>0.5</v>
      </c>
      <c r="G15" s="29">
        <v>0.5</v>
      </c>
      <c r="H15" s="29">
        <v>0.5</v>
      </c>
      <c r="I15" s="29">
        <v>0.5</v>
      </c>
      <c r="J15" s="29">
        <v>0.5</v>
      </c>
      <c r="K15" s="29">
        <v>0.5</v>
      </c>
      <c r="L15" s="29">
        <v>0.5</v>
      </c>
      <c r="M15" s="29">
        <v>0.5</v>
      </c>
      <c r="N15" s="29">
        <v>0.5</v>
      </c>
      <c r="O15" s="29">
        <v>0.5</v>
      </c>
      <c r="P15" s="29">
        <v>0.5</v>
      </c>
      <c r="Q15" s="29">
        <v>0.5</v>
      </c>
      <c r="R15" s="29">
        <v>0.5</v>
      </c>
      <c r="S15" s="29">
        <v>0.5</v>
      </c>
      <c r="T15" s="30">
        <v>0.5</v>
      </c>
    </row>
    <row r="16" spans="2:21" x14ac:dyDescent="0.35">
      <c r="B16" s="17" t="s">
        <v>63</v>
      </c>
      <c r="C16" s="40">
        <f t="shared" si="2"/>
        <v>48900</v>
      </c>
      <c r="D16" s="28" t="s">
        <v>50</v>
      </c>
      <c r="E16" s="29">
        <v>0.5</v>
      </c>
      <c r="F16" s="29">
        <v>0.5</v>
      </c>
      <c r="G16" s="29">
        <v>0.5</v>
      </c>
      <c r="H16" s="29">
        <v>0.5</v>
      </c>
      <c r="I16" s="29">
        <v>0.5</v>
      </c>
      <c r="J16" s="29">
        <v>0.5</v>
      </c>
      <c r="K16" s="29">
        <v>0.5</v>
      </c>
      <c r="L16" s="29">
        <v>0.5</v>
      </c>
      <c r="M16" s="29">
        <v>0.5</v>
      </c>
      <c r="N16" s="29">
        <v>0.5</v>
      </c>
      <c r="O16" s="29">
        <v>0.5</v>
      </c>
      <c r="P16" s="29">
        <v>0.5</v>
      </c>
      <c r="Q16" s="29">
        <v>0.5</v>
      </c>
      <c r="R16" s="29">
        <v>0.5</v>
      </c>
      <c r="S16" s="29">
        <v>0.5</v>
      </c>
      <c r="T16" s="30">
        <v>0.5</v>
      </c>
      <c r="U16" s="30">
        <v>0.15</v>
      </c>
    </row>
    <row r="17" spans="2:20" x14ac:dyDescent="0.35">
      <c r="B17" s="17" t="s">
        <v>51</v>
      </c>
      <c r="C17" s="40">
        <f t="shared" si="2"/>
        <v>33599.999999999993</v>
      </c>
      <c r="D17" s="28" t="s">
        <v>52</v>
      </c>
      <c r="E17" s="29">
        <v>0.35</v>
      </c>
      <c r="F17" s="29">
        <v>0.35</v>
      </c>
      <c r="G17" s="29">
        <v>0.35</v>
      </c>
      <c r="H17" s="29">
        <v>0.35</v>
      </c>
      <c r="I17" s="29">
        <v>0.35</v>
      </c>
      <c r="J17" s="29">
        <v>0.35</v>
      </c>
      <c r="K17" s="29">
        <v>0.35</v>
      </c>
      <c r="L17" s="29">
        <v>0.35</v>
      </c>
      <c r="M17" s="29">
        <v>0.35</v>
      </c>
      <c r="N17" s="29">
        <v>0.35</v>
      </c>
      <c r="O17" s="29">
        <v>0.35</v>
      </c>
      <c r="P17" s="29">
        <v>0.35</v>
      </c>
      <c r="Q17" s="29">
        <v>0.35</v>
      </c>
      <c r="R17" s="29">
        <v>0.35</v>
      </c>
      <c r="S17" s="29">
        <v>0.35</v>
      </c>
      <c r="T17" s="30">
        <v>0.35</v>
      </c>
    </row>
    <row r="18" spans="2:20" x14ac:dyDescent="0.35">
      <c r="B18" s="17" t="s">
        <v>53</v>
      </c>
      <c r="C18" s="40">
        <f t="shared" si="2"/>
        <v>24000</v>
      </c>
      <c r="D18" s="28" t="s">
        <v>54</v>
      </c>
      <c r="E18" s="29">
        <v>0.25</v>
      </c>
      <c r="F18" s="29">
        <v>0.25</v>
      </c>
      <c r="G18" s="29">
        <v>0.25</v>
      </c>
      <c r="H18" s="29">
        <v>0.25</v>
      </c>
      <c r="I18" s="29">
        <v>0.25</v>
      </c>
      <c r="J18" s="29">
        <v>0.25</v>
      </c>
      <c r="K18" s="29">
        <v>0.25</v>
      </c>
      <c r="L18" s="29">
        <v>0.25</v>
      </c>
      <c r="M18" s="29">
        <v>0.25</v>
      </c>
      <c r="N18" s="29">
        <v>0.25</v>
      </c>
      <c r="O18" s="29">
        <v>0.25</v>
      </c>
      <c r="P18" s="29">
        <v>0.25</v>
      </c>
      <c r="Q18" s="29">
        <v>0.25</v>
      </c>
      <c r="R18" s="29">
        <v>0.25</v>
      </c>
      <c r="S18" s="29">
        <v>0.25</v>
      </c>
      <c r="T18" s="30">
        <v>0.25</v>
      </c>
    </row>
    <row r="19" spans="2:20" x14ac:dyDescent="0.35">
      <c r="B19" s="17" t="s">
        <v>55</v>
      </c>
      <c r="C19" s="40">
        <f t="shared" si="2"/>
        <v>9600.0000000000018</v>
      </c>
      <c r="D19" s="28" t="s">
        <v>56</v>
      </c>
      <c r="E19" s="29">
        <v>0.1</v>
      </c>
      <c r="F19" s="29">
        <v>0.1</v>
      </c>
      <c r="G19" s="29">
        <v>0.1</v>
      </c>
      <c r="H19" s="29">
        <v>0.1</v>
      </c>
      <c r="I19" s="29">
        <v>0.1</v>
      </c>
      <c r="J19" s="29">
        <v>0.1</v>
      </c>
      <c r="K19" s="29">
        <v>0.1</v>
      </c>
      <c r="L19" s="29">
        <v>0.1</v>
      </c>
      <c r="M19" s="29">
        <v>0.1</v>
      </c>
      <c r="N19" s="29">
        <v>0.1</v>
      </c>
      <c r="O19" s="29">
        <v>0.1</v>
      </c>
      <c r="P19" s="29">
        <v>0.1</v>
      </c>
      <c r="Q19" s="29">
        <v>0.1</v>
      </c>
      <c r="R19" s="29">
        <v>0.1</v>
      </c>
      <c r="S19" s="29">
        <v>0.1</v>
      </c>
      <c r="T19" s="30">
        <v>0.1</v>
      </c>
    </row>
    <row r="20" spans="2:20" x14ac:dyDescent="0.35">
      <c r="C20" s="41">
        <f>SUM(C6:C19)</f>
        <v>681600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5CC8-C1DB-4511-A5C6-307D9233BDE1}">
  <dimension ref="B2:V42"/>
  <sheetViews>
    <sheetView showGridLines="0" topLeftCell="B1" zoomScale="86" workbookViewId="0">
      <selection activeCell="E13" sqref="E13:T13"/>
    </sheetView>
  </sheetViews>
  <sheetFormatPr defaultRowHeight="14.5" x14ac:dyDescent="0.35"/>
  <cols>
    <col min="2" max="2" width="29.54296875" customWidth="1"/>
    <col min="3" max="4" width="19.1796875" customWidth="1"/>
    <col min="5" max="7" width="7.1796875" bestFit="1" customWidth="1"/>
    <col min="8" max="8" width="5.7265625" bestFit="1" customWidth="1"/>
    <col min="9" max="11" width="6.7265625" bestFit="1" customWidth="1"/>
    <col min="12" max="12" width="6.26953125" bestFit="1" customWidth="1"/>
    <col min="13" max="15" width="7.26953125" bestFit="1" customWidth="1"/>
    <col min="16" max="17" width="5.7265625" bestFit="1" customWidth="1"/>
    <col min="18" max="20" width="6.7265625" bestFit="1" customWidth="1"/>
  </cols>
  <sheetData>
    <row r="2" spans="2:22" ht="19.5" x14ac:dyDescent="0.45">
      <c r="B2" s="43"/>
      <c r="C2" s="47" t="s">
        <v>64</v>
      </c>
    </row>
    <row r="3" spans="2:22" ht="62.5" customHeight="1" x14ac:dyDescent="0.45">
      <c r="B3" s="45" t="s">
        <v>65</v>
      </c>
      <c r="C3" s="48">
        <f>SUM(C15,C28,C42)</f>
        <v>974100</v>
      </c>
      <c r="E3" s="58" t="s">
        <v>66</v>
      </c>
      <c r="F3" s="58"/>
      <c r="G3" s="58"/>
      <c r="H3" s="58" t="s">
        <v>67</v>
      </c>
      <c r="I3" s="58"/>
      <c r="J3" s="58"/>
      <c r="K3" s="59" t="s">
        <v>68</v>
      </c>
      <c r="L3" s="59"/>
      <c r="M3" s="59"/>
      <c r="N3" s="59"/>
      <c r="O3" s="58" t="s">
        <v>69</v>
      </c>
      <c r="P3" s="58"/>
      <c r="Q3" s="58"/>
      <c r="R3" s="58" t="s">
        <v>70</v>
      </c>
      <c r="S3" s="58"/>
      <c r="T3" s="58"/>
    </row>
    <row r="4" spans="2:22" ht="15" customHeight="1" thickBot="1" x14ac:dyDescent="0.4"/>
    <row r="5" spans="2:22" x14ac:dyDescent="0.35">
      <c r="B5" s="11" t="s">
        <v>71</v>
      </c>
      <c r="C5" s="27" t="s">
        <v>61</v>
      </c>
      <c r="D5" s="27" t="s">
        <v>31</v>
      </c>
      <c r="E5" s="12">
        <v>46097</v>
      </c>
      <c r="F5" s="12">
        <f t="shared" ref="F5" si="0">E5+7</f>
        <v>46104</v>
      </c>
      <c r="G5" s="12">
        <f t="shared" ref="G5" si="1">F5+7</f>
        <v>46111</v>
      </c>
      <c r="H5" s="12">
        <f t="shared" ref="H5" si="2">G5+7</f>
        <v>46118</v>
      </c>
      <c r="I5" s="12">
        <f t="shared" ref="I5" si="3">H5+7</f>
        <v>46125</v>
      </c>
      <c r="J5" s="12">
        <f t="shared" ref="J5" si="4">I5+7</f>
        <v>46132</v>
      </c>
      <c r="K5" s="12">
        <f t="shared" ref="K5" si="5">J5+7</f>
        <v>46139</v>
      </c>
      <c r="L5" s="12">
        <f t="shared" ref="L5" si="6">K5+7</f>
        <v>46146</v>
      </c>
      <c r="M5" s="12">
        <f t="shared" ref="M5" si="7">L5+7</f>
        <v>46153</v>
      </c>
      <c r="N5" s="12">
        <f t="shared" ref="N5" si="8">M5+7</f>
        <v>46160</v>
      </c>
      <c r="O5" s="12">
        <f t="shared" ref="O5" si="9">N5+7</f>
        <v>46167</v>
      </c>
      <c r="P5" s="12">
        <f t="shared" ref="P5" si="10">O5+7</f>
        <v>46174</v>
      </c>
      <c r="Q5" s="12">
        <f t="shared" ref="Q5" si="11">P5+7</f>
        <v>46181</v>
      </c>
      <c r="R5" s="12">
        <f t="shared" ref="R5" si="12">Q5+7</f>
        <v>46188</v>
      </c>
      <c r="S5" s="12">
        <f t="shared" ref="S5" si="13">R5+7</f>
        <v>46195</v>
      </c>
      <c r="T5" s="13">
        <f>S5+7</f>
        <v>46202</v>
      </c>
      <c r="U5" s="13">
        <f t="shared" ref="U5:V5" si="14">T5+7</f>
        <v>46209</v>
      </c>
      <c r="V5" s="13">
        <f t="shared" si="14"/>
        <v>46216</v>
      </c>
    </row>
    <row r="6" spans="2:22" x14ac:dyDescent="0.35">
      <c r="B6" s="17"/>
      <c r="C6" s="39"/>
      <c r="D6" s="28"/>
      <c r="E6" s="2">
        <v>1</v>
      </c>
      <c r="F6" s="2">
        <f t="shared" ref="F6" si="15">E6+1</f>
        <v>2</v>
      </c>
      <c r="G6" s="2">
        <f t="shared" ref="G6" si="16">F6+1</f>
        <v>3</v>
      </c>
      <c r="H6" s="2">
        <f t="shared" ref="H6" si="17">G6+1</f>
        <v>4</v>
      </c>
      <c r="I6" s="2">
        <f t="shared" ref="I6" si="18">H6+1</f>
        <v>5</v>
      </c>
      <c r="J6" s="2">
        <f t="shared" ref="J6" si="19">I6+1</f>
        <v>6</v>
      </c>
      <c r="K6" s="2">
        <f t="shared" ref="K6" si="20">J6+1</f>
        <v>7</v>
      </c>
      <c r="L6" s="2">
        <f t="shared" ref="L6" si="21">K6+1</f>
        <v>8</v>
      </c>
      <c r="M6" s="2">
        <f t="shared" ref="M6" si="22">L6+1</f>
        <v>9</v>
      </c>
      <c r="N6" s="2">
        <f t="shared" ref="N6" si="23">M6+1</f>
        <v>10</v>
      </c>
      <c r="O6" s="2">
        <f t="shared" ref="O6" si="24">N6+1</f>
        <v>11</v>
      </c>
      <c r="P6" s="2">
        <f t="shared" ref="P6" si="25">O6+1</f>
        <v>12</v>
      </c>
      <c r="Q6" s="2">
        <f t="shared" ref="Q6" si="26">P6+1</f>
        <v>13</v>
      </c>
      <c r="R6" s="2">
        <f t="shared" ref="R6" si="27">Q6+1</f>
        <v>14</v>
      </c>
      <c r="S6" s="2">
        <f t="shared" ref="S6" si="28">R6+1</f>
        <v>15</v>
      </c>
      <c r="T6" s="15">
        <f>S6+1</f>
        <v>16</v>
      </c>
      <c r="U6" s="15">
        <f t="shared" ref="U6:V6" si="29">T6+1</f>
        <v>17</v>
      </c>
      <c r="V6" s="15">
        <f t="shared" si="29"/>
        <v>18</v>
      </c>
    </row>
    <row r="7" spans="2:22" x14ac:dyDescent="0.35">
      <c r="B7" s="17" t="s">
        <v>55</v>
      </c>
      <c r="C7" s="40">
        <f>SUM(E7:Z7)*40*150</f>
        <v>7800.0000000000036</v>
      </c>
      <c r="D7" s="28" t="s">
        <v>56</v>
      </c>
      <c r="E7" s="29">
        <v>0.1</v>
      </c>
      <c r="F7" s="29">
        <v>0.1</v>
      </c>
      <c r="G7" s="29">
        <v>0.1</v>
      </c>
      <c r="H7" s="29">
        <v>0.1</v>
      </c>
      <c r="I7" s="29">
        <v>0.05</v>
      </c>
      <c r="J7" s="29">
        <v>0.05</v>
      </c>
      <c r="K7" s="29">
        <v>0.05</v>
      </c>
      <c r="L7" s="29">
        <v>0.05</v>
      </c>
      <c r="M7" s="29">
        <v>0.05</v>
      </c>
      <c r="N7" s="29">
        <v>0.05</v>
      </c>
      <c r="O7" s="29">
        <v>0.05</v>
      </c>
      <c r="P7" s="29">
        <v>0.05</v>
      </c>
      <c r="Q7" s="29">
        <v>0.1</v>
      </c>
      <c r="R7" s="29">
        <v>0.1</v>
      </c>
      <c r="S7" s="29">
        <v>0.1</v>
      </c>
      <c r="T7" s="29">
        <v>0.1</v>
      </c>
      <c r="U7" s="29">
        <v>0.05</v>
      </c>
      <c r="V7" s="29">
        <v>0.05</v>
      </c>
    </row>
    <row r="8" spans="2:22" x14ac:dyDescent="0.35">
      <c r="B8" s="17" t="s">
        <v>72</v>
      </c>
      <c r="C8" s="40">
        <f t="shared" ref="C8:C13" si="30">SUM(E8:Z8)*40*150</f>
        <v>9300.0000000000018</v>
      </c>
      <c r="D8" s="28" t="s">
        <v>54</v>
      </c>
      <c r="E8" s="29">
        <v>0.15</v>
      </c>
      <c r="F8" s="29">
        <v>0.15</v>
      </c>
      <c r="G8" s="29">
        <v>0.15</v>
      </c>
      <c r="H8" s="29">
        <v>0.1</v>
      </c>
      <c r="I8" s="29">
        <v>0.1</v>
      </c>
      <c r="J8" s="29">
        <v>0.1</v>
      </c>
      <c r="K8" s="29">
        <v>0.1</v>
      </c>
      <c r="L8" s="29">
        <v>0.1</v>
      </c>
      <c r="M8" s="29">
        <v>0.1</v>
      </c>
      <c r="N8" s="29">
        <v>0.1</v>
      </c>
      <c r="O8" s="29">
        <v>0.1</v>
      </c>
      <c r="P8" s="29">
        <v>0.1</v>
      </c>
      <c r="Q8" s="29">
        <v>0.1</v>
      </c>
      <c r="R8" s="29">
        <v>0.1</v>
      </c>
      <c r="S8" s="29">
        <v>0</v>
      </c>
      <c r="T8" s="29">
        <v>0</v>
      </c>
      <c r="U8" s="29">
        <v>0</v>
      </c>
      <c r="V8" s="29">
        <v>0</v>
      </c>
    </row>
    <row r="9" spans="2:22" x14ac:dyDescent="0.35">
      <c r="B9" s="17" t="s">
        <v>44</v>
      </c>
      <c r="C9" s="40">
        <f t="shared" si="30"/>
        <v>69000</v>
      </c>
      <c r="D9" s="28" t="s">
        <v>45</v>
      </c>
      <c r="E9" s="29">
        <v>0.5</v>
      </c>
      <c r="F9" s="29">
        <v>0.75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0.75</v>
      </c>
      <c r="M9" s="29">
        <v>0.75</v>
      </c>
      <c r="N9" s="29">
        <v>0.75</v>
      </c>
      <c r="O9" s="29">
        <v>0.5</v>
      </c>
      <c r="P9" s="29">
        <v>0.5</v>
      </c>
      <c r="Q9" s="29">
        <v>0.5</v>
      </c>
      <c r="R9" s="29">
        <v>0.5</v>
      </c>
      <c r="S9" s="29">
        <v>0.25</v>
      </c>
      <c r="T9" s="29">
        <v>0.25</v>
      </c>
      <c r="U9" s="29">
        <v>0.25</v>
      </c>
      <c r="V9" s="29">
        <v>0.25</v>
      </c>
    </row>
    <row r="10" spans="2:22" x14ac:dyDescent="0.35">
      <c r="B10" s="17" t="s">
        <v>73</v>
      </c>
      <c r="C10" s="40">
        <f t="shared" si="30"/>
        <v>52800</v>
      </c>
      <c r="D10" s="28" t="s">
        <v>74</v>
      </c>
      <c r="E10" s="29">
        <v>0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0.5</v>
      </c>
      <c r="M10" s="29">
        <v>0.5</v>
      </c>
      <c r="N10" s="29">
        <v>0.5</v>
      </c>
      <c r="O10" s="29">
        <v>0.25</v>
      </c>
      <c r="P10" s="29">
        <v>0.25</v>
      </c>
      <c r="Q10" s="29">
        <v>0.25</v>
      </c>
      <c r="R10" s="29">
        <v>0.25</v>
      </c>
      <c r="S10" s="29">
        <v>0.15</v>
      </c>
      <c r="T10" s="29">
        <v>0.15</v>
      </c>
      <c r="U10" s="29">
        <v>0</v>
      </c>
      <c r="V10" s="29">
        <v>0</v>
      </c>
    </row>
    <row r="11" spans="2:22" x14ac:dyDescent="0.35">
      <c r="B11" s="17" t="s">
        <v>75</v>
      </c>
      <c r="C11" s="40">
        <f t="shared" si="30"/>
        <v>40800</v>
      </c>
      <c r="D11" s="28" t="s">
        <v>52</v>
      </c>
      <c r="E11" s="29">
        <v>0.5</v>
      </c>
      <c r="F11" s="29">
        <v>0.5</v>
      </c>
      <c r="G11" s="29">
        <v>0.5</v>
      </c>
      <c r="H11" s="29">
        <v>0.5</v>
      </c>
      <c r="I11" s="29">
        <v>0.5</v>
      </c>
      <c r="J11" s="29">
        <v>0.5</v>
      </c>
      <c r="K11" s="29">
        <v>0.5</v>
      </c>
      <c r="L11" s="29">
        <v>0.5</v>
      </c>
      <c r="M11" s="29">
        <v>0.5</v>
      </c>
      <c r="N11" s="29">
        <v>0.5</v>
      </c>
      <c r="O11" s="29">
        <v>0.5</v>
      </c>
      <c r="P11" s="29">
        <v>0.5</v>
      </c>
      <c r="Q11" s="29">
        <v>0.25</v>
      </c>
      <c r="R11" s="29">
        <v>0.25</v>
      </c>
      <c r="S11" s="29">
        <v>0.15</v>
      </c>
      <c r="T11" s="29">
        <v>0.15</v>
      </c>
      <c r="U11" s="29">
        <v>0</v>
      </c>
      <c r="V11" s="29">
        <v>0</v>
      </c>
    </row>
    <row r="12" spans="2:22" x14ac:dyDescent="0.35">
      <c r="B12" s="17" t="s">
        <v>40</v>
      </c>
      <c r="C12" s="40">
        <f>SUM(E12:Z12)*40*150</f>
        <v>32100.000000000004</v>
      </c>
      <c r="D12" s="28" t="s">
        <v>41</v>
      </c>
      <c r="E12" s="29">
        <v>0</v>
      </c>
      <c r="F12" s="29">
        <v>0.5</v>
      </c>
      <c r="G12" s="29">
        <v>0.5</v>
      </c>
      <c r="H12" s="29">
        <v>0.5</v>
      </c>
      <c r="I12" s="29">
        <v>0.5</v>
      </c>
      <c r="J12" s="29">
        <v>0.5</v>
      </c>
      <c r="K12" s="29">
        <v>0.5</v>
      </c>
      <c r="L12" s="29">
        <v>0.5</v>
      </c>
      <c r="M12" s="29">
        <v>0.5</v>
      </c>
      <c r="N12" s="29">
        <v>0.5</v>
      </c>
      <c r="O12" s="29">
        <v>0.25</v>
      </c>
      <c r="P12" s="29">
        <v>0.2</v>
      </c>
      <c r="Q12" s="29">
        <v>0.2</v>
      </c>
      <c r="R12" s="29">
        <v>0.2</v>
      </c>
      <c r="S12" s="29">
        <v>0</v>
      </c>
      <c r="T12" s="29">
        <v>0</v>
      </c>
      <c r="U12" s="29">
        <v>0</v>
      </c>
      <c r="V12" s="29">
        <v>0</v>
      </c>
    </row>
    <row r="13" spans="2:22" x14ac:dyDescent="0.35">
      <c r="B13" s="17" t="s">
        <v>48</v>
      </c>
      <c r="C13" s="40">
        <f t="shared" si="30"/>
        <v>19200.000000000004</v>
      </c>
      <c r="D13" s="28" t="s">
        <v>49</v>
      </c>
      <c r="E13" s="29">
        <v>0.2</v>
      </c>
      <c r="F13" s="29">
        <v>0.2</v>
      </c>
      <c r="G13" s="29">
        <v>0.2</v>
      </c>
      <c r="H13" s="29">
        <v>0.2</v>
      </c>
      <c r="I13" s="29">
        <v>0.2</v>
      </c>
      <c r="J13" s="29">
        <v>0.2</v>
      </c>
      <c r="K13" s="29">
        <v>0.2</v>
      </c>
      <c r="L13" s="29">
        <v>0.2</v>
      </c>
      <c r="M13" s="29">
        <v>0.2</v>
      </c>
      <c r="N13" s="29">
        <v>0.2</v>
      </c>
      <c r="O13" s="29">
        <v>0.2</v>
      </c>
      <c r="P13" s="29">
        <v>0.2</v>
      </c>
      <c r="Q13" s="29">
        <v>0.2</v>
      </c>
      <c r="R13" s="29">
        <v>0.2</v>
      </c>
      <c r="S13" s="29">
        <v>0.2</v>
      </c>
      <c r="T13" s="29">
        <v>0.2</v>
      </c>
      <c r="U13" s="29">
        <v>0</v>
      </c>
      <c r="V13" s="29">
        <v>0</v>
      </c>
    </row>
    <row r="14" spans="2:22" x14ac:dyDescent="0.35">
      <c r="B14" s="17" t="s">
        <v>76</v>
      </c>
      <c r="C14" s="40">
        <f t="shared" ref="C14" si="31">SUM(E14:Z14)*40*150</f>
        <v>129599.99999999999</v>
      </c>
      <c r="D14" s="28" t="s">
        <v>50</v>
      </c>
      <c r="E14" s="29">
        <v>1.6</v>
      </c>
      <c r="F14" s="29">
        <v>1.6</v>
      </c>
      <c r="G14" s="29">
        <v>1.6</v>
      </c>
      <c r="H14" s="29">
        <v>1.6</v>
      </c>
      <c r="I14" s="29">
        <v>1.6</v>
      </c>
      <c r="J14" s="29">
        <v>1.6</v>
      </c>
      <c r="K14" s="29">
        <v>1.6</v>
      </c>
      <c r="L14" s="29">
        <v>1.6</v>
      </c>
      <c r="M14" s="29">
        <v>1.6</v>
      </c>
      <c r="N14" s="29">
        <v>1.6</v>
      </c>
      <c r="O14" s="29">
        <v>1.6</v>
      </c>
      <c r="P14" s="29">
        <v>1</v>
      </c>
      <c r="Q14" s="29">
        <v>1</v>
      </c>
      <c r="R14" s="29">
        <v>1</v>
      </c>
      <c r="S14" s="29">
        <v>0.5</v>
      </c>
      <c r="T14" s="29">
        <v>0.5</v>
      </c>
      <c r="U14" s="29">
        <v>0</v>
      </c>
      <c r="V14" s="29">
        <v>0</v>
      </c>
    </row>
    <row r="15" spans="2:22" x14ac:dyDescent="0.35">
      <c r="C15" s="46">
        <f>SUM(C7:C14)</f>
        <v>360600</v>
      </c>
      <c r="S15" s="42"/>
      <c r="T15" s="42"/>
      <c r="U15" s="42"/>
    </row>
    <row r="16" spans="2:22" x14ac:dyDescent="0.35">
      <c r="S16" s="42"/>
      <c r="T16" s="42"/>
      <c r="U16" s="42"/>
    </row>
    <row r="17" spans="2:22" ht="19.5" x14ac:dyDescent="0.45">
      <c r="B17" s="45" t="s">
        <v>77</v>
      </c>
      <c r="S17" s="42"/>
      <c r="T17" s="42"/>
      <c r="U17" s="42"/>
    </row>
    <row r="18" spans="2:22" ht="15" thickBot="1" x14ac:dyDescent="0.4">
      <c r="S18" s="42"/>
      <c r="T18" s="42"/>
      <c r="U18" s="42"/>
    </row>
    <row r="19" spans="2:22" x14ac:dyDescent="0.35">
      <c r="B19" s="11" t="s">
        <v>30</v>
      </c>
      <c r="C19" s="27" t="s">
        <v>61</v>
      </c>
      <c r="D19" s="27" t="s">
        <v>31</v>
      </c>
      <c r="E19" s="12">
        <v>46097</v>
      </c>
      <c r="F19" s="12">
        <f t="shared" ref="F19:S19" si="32">E19+7</f>
        <v>46104</v>
      </c>
      <c r="G19" s="12">
        <f t="shared" si="32"/>
        <v>46111</v>
      </c>
      <c r="H19" s="12">
        <f t="shared" si="32"/>
        <v>46118</v>
      </c>
      <c r="I19" s="12">
        <f t="shared" si="32"/>
        <v>46125</v>
      </c>
      <c r="J19" s="12">
        <f t="shared" si="32"/>
        <v>46132</v>
      </c>
      <c r="K19" s="12">
        <f t="shared" si="32"/>
        <v>46139</v>
      </c>
      <c r="L19" s="12">
        <f t="shared" si="32"/>
        <v>46146</v>
      </c>
      <c r="M19" s="12">
        <f t="shared" si="32"/>
        <v>46153</v>
      </c>
      <c r="N19" s="12">
        <f t="shared" si="32"/>
        <v>46160</v>
      </c>
      <c r="O19" s="12">
        <f t="shared" si="32"/>
        <v>46167</v>
      </c>
      <c r="P19" s="12">
        <f t="shared" si="32"/>
        <v>46174</v>
      </c>
      <c r="Q19" s="12">
        <f t="shared" si="32"/>
        <v>46181</v>
      </c>
      <c r="R19" s="12">
        <f t="shared" si="32"/>
        <v>46188</v>
      </c>
      <c r="S19" s="12">
        <f t="shared" si="32"/>
        <v>46195</v>
      </c>
      <c r="T19" s="13">
        <f>S19+7</f>
        <v>46202</v>
      </c>
      <c r="U19" s="13">
        <f>T19+7</f>
        <v>46209</v>
      </c>
      <c r="V19" s="13">
        <f t="shared" ref="V19" si="33">U19+7</f>
        <v>46216</v>
      </c>
    </row>
    <row r="20" spans="2:22" x14ac:dyDescent="0.35">
      <c r="B20" s="17"/>
      <c r="C20" s="39"/>
      <c r="D20" s="28"/>
      <c r="E20" s="2">
        <v>1</v>
      </c>
      <c r="F20" s="2">
        <f t="shared" ref="F20:S20" si="34">E20+1</f>
        <v>2</v>
      </c>
      <c r="G20" s="2">
        <f t="shared" si="34"/>
        <v>3</v>
      </c>
      <c r="H20" s="2">
        <f t="shared" si="34"/>
        <v>4</v>
      </c>
      <c r="I20" s="2">
        <f t="shared" si="34"/>
        <v>5</v>
      </c>
      <c r="J20" s="2">
        <f t="shared" si="34"/>
        <v>6</v>
      </c>
      <c r="K20" s="2">
        <f t="shared" si="34"/>
        <v>7</v>
      </c>
      <c r="L20" s="2">
        <f t="shared" si="34"/>
        <v>8</v>
      </c>
      <c r="M20" s="2">
        <f t="shared" si="34"/>
        <v>9</v>
      </c>
      <c r="N20" s="2">
        <f t="shared" si="34"/>
        <v>10</v>
      </c>
      <c r="O20" s="2">
        <f t="shared" si="34"/>
        <v>11</v>
      </c>
      <c r="P20" s="2">
        <f t="shared" si="34"/>
        <v>12</v>
      </c>
      <c r="Q20" s="2">
        <f t="shared" si="34"/>
        <v>13</v>
      </c>
      <c r="R20" s="2">
        <f t="shared" si="34"/>
        <v>14</v>
      </c>
      <c r="S20" s="2">
        <f t="shared" si="34"/>
        <v>15</v>
      </c>
      <c r="T20" s="15">
        <f>S20+1</f>
        <v>16</v>
      </c>
      <c r="U20" s="15">
        <f>T20+1</f>
        <v>17</v>
      </c>
      <c r="V20" s="15">
        <f t="shared" ref="V20" si="35">U20+1</f>
        <v>18</v>
      </c>
    </row>
    <row r="21" spans="2:22" x14ac:dyDescent="0.35">
      <c r="B21" s="17" t="s">
        <v>32</v>
      </c>
      <c r="C21" s="40">
        <f>SUM(E21:Z21)*40*150</f>
        <v>44400.000000000007</v>
      </c>
      <c r="D21" s="28" t="s">
        <v>33</v>
      </c>
      <c r="E21" s="29">
        <v>0.5</v>
      </c>
      <c r="F21" s="29">
        <v>0.5</v>
      </c>
      <c r="G21" s="29">
        <v>0.5</v>
      </c>
      <c r="H21" s="29">
        <v>0.5</v>
      </c>
      <c r="I21" s="29">
        <v>0.35</v>
      </c>
      <c r="J21" s="29">
        <v>0.35</v>
      </c>
      <c r="K21" s="29">
        <v>0.35</v>
      </c>
      <c r="L21" s="29">
        <v>0.35</v>
      </c>
      <c r="M21" s="29">
        <v>0.35</v>
      </c>
      <c r="N21" s="29">
        <v>0.35</v>
      </c>
      <c r="O21" s="29">
        <v>0.5</v>
      </c>
      <c r="P21" s="29">
        <v>0.5</v>
      </c>
      <c r="Q21" s="29">
        <v>0.5</v>
      </c>
      <c r="R21" s="29">
        <v>0.5</v>
      </c>
      <c r="S21" s="29">
        <v>0.5</v>
      </c>
      <c r="T21" s="29">
        <v>0.5</v>
      </c>
      <c r="U21" s="30">
        <v>0.15</v>
      </c>
      <c r="V21" s="30">
        <v>0.15</v>
      </c>
    </row>
    <row r="22" spans="2:22" x14ac:dyDescent="0.35">
      <c r="B22" s="17" t="s">
        <v>34</v>
      </c>
      <c r="C22" s="40">
        <f t="shared" ref="C22:C27" si="36">SUM(E22:Z22)*40*150</f>
        <v>69599.999999999985</v>
      </c>
      <c r="D22" s="28" t="s">
        <v>35</v>
      </c>
      <c r="E22" s="29">
        <v>0.5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0.5</v>
      </c>
      <c r="P22" s="29">
        <v>0.5</v>
      </c>
      <c r="Q22" s="29">
        <v>0.2</v>
      </c>
      <c r="R22" s="29">
        <v>0.2</v>
      </c>
      <c r="S22" s="29">
        <v>0.1</v>
      </c>
      <c r="T22" s="29">
        <v>0.1</v>
      </c>
      <c r="U22" s="29">
        <v>0.25</v>
      </c>
      <c r="V22" s="29">
        <v>0.25</v>
      </c>
    </row>
    <row r="23" spans="2:22" x14ac:dyDescent="0.35">
      <c r="B23" s="17" t="s">
        <v>36</v>
      </c>
      <c r="C23" s="40">
        <f t="shared" si="36"/>
        <v>27000</v>
      </c>
      <c r="D23" s="28" t="s">
        <v>37</v>
      </c>
      <c r="E23" s="29">
        <v>0</v>
      </c>
      <c r="F23" s="29">
        <v>0.5</v>
      </c>
      <c r="G23" s="29">
        <v>0.5</v>
      </c>
      <c r="H23" s="29">
        <v>0.5</v>
      </c>
      <c r="I23" s="29">
        <v>0.5</v>
      </c>
      <c r="J23" s="29">
        <v>0.5</v>
      </c>
      <c r="K23" s="29">
        <v>0.5</v>
      </c>
      <c r="L23" s="29">
        <v>0.5</v>
      </c>
      <c r="M23" s="29">
        <v>0.5</v>
      </c>
      <c r="N23" s="29">
        <v>0.5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</row>
    <row r="24" spans="2:22" x14ac:dyDescent="0.35">
      <c r="B24" s="17" t="s">
        <v>38</v>
      </c>
      <c r="C24" s="40">
        <f t="shared" si="36"/>
        <v>73499.999999999985</v>
      </c>
      <c r="D24" s="28" t="s">
        <v>39</v>
      </c>
      <c r="E24" s="29">
        <v>0.25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0.75</v>
      </c>
      <c r="P24" s="29">
        <v>0.35</v>
      </c>
      <c r="Q24" s="29">
        <v>0.35</v>
      </c>
      <c r="R24" s="29">
        <v>0.35</v>
      </c>
      <c r="S24" s="29">
        <v>0.35</v>
      </c>
      <c r="T24" s="29">
        <v>0.35</v>
      </c>
      <c r="U24" s="29">
        <v>0.25</v>
      </c>
      <c r="V24" s="29">
        <v>0.25</v>
      </c>
    </row>
    <row r="25" spans="2:22" x14ac:dyDescent="0.35">
      <c r="B25" s="17" t="s">
        <v>62</v>
      </c>
      <c r="C25" s="40">
        <f t="shared" si="36"/>
        <v>55200.000000000007</v>
      </c>
      <c r="D25" s="28" t="s">
        <v>42</v>
      </c>
      <c r="E25" s="29">
        <v>0</v>
      </c>
      <c r="F25" s="29">
        <v>0</v>
      </c>
      <c r="G25" s="29">
        <v>0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0.5</v>
      </c>
      <c r="P25" s="29">
        <v>0.5</v>
      </c>
      <c r="Q25" s="29">
        <v>0.25</v>
      </c>
      <c r="R25" s="29">
        <v>0.15</v>
      </c>
      <c r="S25" s="29">
        <v>0.15</v>
      </c>
      <c r="T25" s="29">
        <v>0.15</v>
      </c>
      <c r="U25" s="29">
        <v>0.25</v>
      </c>
      <c r="V25" s="29">
        <v>0.25</v>
      </c>
    </row>
    <row r="26" spans="2:22" x14ac:dyDescent="0.35">
      <c r="B26" s="17" t="s">
        <v>62</v>
      </c>
      <c r="C26" s="40">
        <f t="shared" si="36"/>
        <v>21000</v>
      </c>
      <c r="D26" s="28" t="s">
        <v>43</v>
      </c>
      <c r="E26" s="29">
        <v>0</v>
      </c>
      <c r="F26" s="29">
        <v>0</v>
      </c>
      <c r="G26" s="29">
        <v>0</v>
      </c>
      <c r="H26" s="29">
        <v>0.5</v>
      </c>
      <c r="I26" s="29">
        <v>0.5</v>
      </c>
      <c r="J26" s="29">
        <v>0.5</v>
      </c>
      <c r="K26" s="29">
        <v>0.5</v>
      </c>
      <c r="L26" s="29">
        <v>0.5</v>
      </c>
      <c r="M26" s="29">
        <v>0.5</v>
      </c>
      <c r="N26" s="29">
        <v>0.5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</row>
    <row r="27" spans="2:22" x14ac:dyDescent="0.35">
      <c r="B27" s="38" t="s">
        <v>78</v>
      </c>
      <c r="C27" s="40">
        <f t="shared" si="36"/>
        <v>27000</v>
      </c>
      <c r="D27" s="28" t="s">
        <v>79</v>
      </c>
      <c r="E27" s="29">
        <v>0</v>
      </c>
      <c r="F27" s="29">
        <v>0.5</v>
      </c>
      <c r="G27" s="29">
        <v>0.5</v>
      </c>
      <c r="H27" s="29">
        <v>0.5</v>
      </c>
      <c r="I27" s="29">
        <v>0.5</v>
      </c>
      <c r="J27" s="29">
        <v>0.5</v>
      </c>
      <c r="K27" s="29">
        <v>0.5</v>
      </c>
      <c r="L27" s="29">
        <v>0.5</v>
      </c>
      <c r="M27" s="29">
        <v>0.5</v>
      </c>
      <c r="N27" s="29">
        <v>0.5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</row>
    <row r="28" spans="2:22" x14ac:dyDescent="0.35">
      <c r="C28" s="46">
        <f>SUM(C21:C27)</f>
        <v>317700</v>
      </c>
    </row>
    <row r="31" spans="2:22" ht="19.5" x14ac:dyDescent="0.45">
      <c r="B31" s="45" t="s">
        <v>80</v>
      </c>
      <c r="S31" s="42"/>
      <c r="T31" s="42"/>
      <c r="U31" s="42"/>
    </row>
    <row r="32" spans="2:22" ht="15" thickBot="1" x14ac:dyDescent="0.4">
      <c r="S32" s="42"/>
      <c r="T32" s="42"/>
      <c r="U32" s="42"/>
    </row>
    <row r="33" spans="2:20" x14ac:dyDescent="0.35">
      <c r="B33" s="11" t="s">
        <v>30</v>
      </c>
      <c r="C33" s="27" t="s">
        <v>61</v>
      </c>
      <c r="D33" s="27" t="s">
        <v>31</v>
      </c>
      <c r="E33" s="12">
        <v>46097</v>
      </c>
      <c r="F33" s="12">
        <f t="shared" ref="F33" si="37">E33+7</f>
        <v>46104</v>
      </c>
      <c r="G33" s="12">
        <f t="shared" ref="G33" si="38">F33+7</f>
        <v>46111</v>
      </c>
      <c r="H33" s="12">
        <f t="shared" ref="H33" si="39">G33+7</f>
        <v>46118</v>
      </c>
      <c r="I33" s="12">
        <f t="shared" ref="I33" si="40">H33+7</f>
        <v>46125</v>
      </c>
      <c r="J33" s="12">
        <f t="shared" ref="J33" si="41">I33+7</f>
        <v>46132</v>
      </c>
      <c r="K33" s="12">
        <f t="shared" ref="K33" si="42">J33+7</f>
        <v>46139</v>
      </c>
      <c r="L33" s="12">
        <f t="shared" ref="L33" si="43">K33+7</f>
        <v>46146</v>
      </c>
      <c r="M33" s="12">
        <f t="shared" ref="M33" si="44">L33+7</f>
        <v>46153</v>
      </c>
      <c r="N33" s="12">
        <f t="shared" ref="N33" si="45">M33+7</f>
        <v>46160</v>
      </c>
      <c r="O33" s="12">
        <f t="shared" ref="O33" si="46">N33+7</f>
        <v>46167</v>
      </c>
      <c r="P33" s="12">
        <f t="shared" ref="P33" si="47">O33+7</f>
        <v>46174</v>
      </c>
      <c r="Q33" s="12">
        <f t="shared" ref="Q33" si="48">P33+7</f>
        <v>46181</v>
      </c>
      <c r="R33" s="12">
        <f t="shared" ref="R33" si="49">Q33+7</f>
        <v>46188</v>
      </c>
      <c r="S33" s="12">
        <f t="shared" ref="S33" si="50">R33+7</f>
        <v>46195</v>
      </c>
      <c r="T33" s="13">
        <f>S33+7</f>
        <v>46202</v>
      </c>
    </row>
    <row r="34" spans="2:20" x14ac:dyDescent="0.35">
      <c r="B34" s="17"/>
      <c r="C34" s="39"/>
      <c r="D34" s="28"/>
      <c r="E34" s="2">
        <v>1</v>
      </c>
      <c r="F34" s="2">
        <f t="shared" ref="F34" si="51">E34+1</f>
        <v>2</v>
      </c>
      <c r="G34" s="2">
        <f t="shared" ref="G34" si="52">F34+1</f>
        <v>3</v>
      </c>
      <c r="H34" s="2">
        <f t="shared" ref="H34" si="53">G34+1</f>
        <v>4</v>
      </c>
      <c r="I34" s="2">
        <f t="shared" ref="I34" si="54">H34+1</f>
        <v>5</v>
      </c>
      <c r="J34" s="2">
        <f t="shared" ref="J34" si="55">I34+1</f>
        <v>6</v>
      </c>
      <c r="K34" s="2">
        <f t="shared" ref="K34" si="56">J34+1</f>
        <v>7</v>
      </c>
      <c r="L34" s="2">
        <f t="shared" ref="L34" si="57">K34+1</f>
        <v>8</v>
      </c>
      <c r="M34" s="2">
        <f t="shared" ref="M34" si="58">L34+1</f>
        <v>9</v>
      </c>
      <c r="N34" s="2">
        <f t="shared" ref="N34" si="59">M34+1</f>
        <v>10</v>
      </c>
      <c r="O34" s="2">
        <f t="shared" ref="O34" si="60">N34+1</f>
        <v>11</v>
      </c>
      <c r="P34" s="2">
        <f t="shared" ref="P34" si="61">O34+1</f>
        <v>12</v>
      </c>
      <c r="Q34" s="2">
        <f t="shared" ref="Q34" si="62">P34+1</f>
        <v>13</v>
      </c>
      <c r="R34" s="2">
        <f t="shared" ref="R34" si="63">Q34+1</f>
        <v>14</v>
      </c>
      <c r="S34" s="2">
        <f t="shared" ref="S34" si="64">R34+1</f>
        <v>15</v>
      </c>
      <c r="T34" s="2">
        <f>S34+1</f>
        <v>16</v>
      </c>
    </row>
    <row r="35" spans="2:20" x14ac:dyDescent="0.35">
      <c r="B35" s="17" t="s">
        <v>57</v>
      </c>
      <c r="C35" s="40">
        <f>SUM(E35:Z35)*40*150</f>
        <v>33900.000000000007</v>
      </c>
      <c r="D35" s="28" t="s">
        <v>33</v>
      </c>
      <c r="E35" s="29">
        <v>0.5</v>
      </c>
      <c r="F35" s="29">
        <v>0.5</v>
      </c>
      <c r="G35" s="29">
        <v>0.5</v>
      </c>
      <c r="H35" s="29">
        <v>0.5</v>
      </c>
      <c r="I35" s="29">
        <v>0.35</v>
      </c>
      <c r="J35" s="29">
        <v>0.35</v>
      </c>
      <c r="K35" s="29">
        <v>0.35</v>
      </c>
      <c r="L35" s="29">
        <v>0.35</v>
      </c>
      <c r="M35" s="29">
        <v>0.35</v>
      </c>
      <c r="N35" s="29">
        <v>0.35</v>
      </c>
      <c r="O35" s="29">
        <v>0.5</v>
      </c>
      <c r="P35" s="29">
        <v>0.25</v>
      </c>
      <c r="Q35" s="29">
        <v>0.25</v>
      </c>
      <c r="R35" s="29">
        <v>0.25</v>
      </c>
      <c r="S35" s="29">
        <v>0.15</v>
      </c>
      <c r="T35" s="29">
        <v>0.15</v>
      </c>
    </row>
    <row r="36" spans="2:20" x14ac:dyDescent="0.35">
      <c r="B36" s="17" t="s">
        <v>58</v>
      </c>
      <c r="C36" s="40">
        <f t="shared" ref="C36:C41" si="65">SUM(E36:Z36)*40*150</f>
        <v>63000</v>
      </c>
      <c r="D36" s="28" t="s">
        <v>35</v>
      </c>
      <c r="E36" s="29">
        <v>0.5</v>
      </c>
      <c r="F36" s="29">
        <v>1</v>
      </c>
      <c r="G36" s="29">
        <v>1</v>
      </c>
      <c r="H36" s="29">
        <v>1</v>
      </c>
      <c r="I36" s="29">
        <v>1</v>
      </c>
      <c r="J36" s="29">
        <v>1</v>
      </c>
      <c r="K36" s="29">
        <v>1</v>
      </c>
      <c r="L36" s="29">
        <v>1</v>
      </c>
      <c r="M36" s="29">
        <v>1</v>
      </c>
      <c r="N36" s="29">
        <v>1</v>
      </c>
      <c r="O36" s="29">
        <v>0.5</v>
      </c>
      <c r="P36" s="29">
        <v>0</v>
      </c>
      <c r="Q36" s="29">
        <v>0</v>
      </c>
      <c r="R36" s="29">
        <v>0</v>
      </c>
      <c r="S36" s="29">
        <v>0.25</v>
      </c>
      <c r="T36" s="29">
        <v>0.25</v>
      </c>
    </row>
    <row r="37" spans="2:20" x14ac:dyDescent="0.35">
      <c r="B37" s="17" t="s">
        <v>36</v>
      </c>
      <c r="C37" s="40">
        <f t="shared" si="65"/>
        <v>27000</v>
      </c>
      <c r="D37" s="28" t="s">
        <v>37</v>
      </c>
      <c r="E37" s="29">
        <v>0</v>
      </c>
      <c r="F37" s="29">
        <v>0.5</v>
      </c>
      <c r="G37" s="29">
        <v>0.5</v>
      </c>
      <c r="H37" s="29">
        <v>0.5</v>
      </c>
      <c r="I37" s="29">
        <v>0.5</v>
      </c>
      <c r="J37" s="29">
        <v>0.5</v>
      </c>
      <c r="K37" s="29">
        <v>0.5</v>
      </c>
      <c r="L37" s="29">
        <v>0.5</v>
      </c>
      <c r="M37" s="29">
        <v>0.5</v>
      </c>
      <c r="N37" s="29">
        <v>0.5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</row>
    <row r="38" spans="2:20" x14ac:dyDescent="0.35">
      <c r="B38" s="17" t="s">
        <v>59</v>
      </c>
      <c r="C38" s="40">
        <f t="shared" si="65"/>
        <v>69000</v>
      </c>
      <c r="D38" s="28" t="s">
        <v>39</v>
      </c>
      <c r="E38" s="29">
        <v>0.25</v>
      </c>
      <c r="F38" s="29">
        <v>1</v>
      </c>
      <c r="G38" s="29">
        <v>1</v>
      </c>
      <c r="H38" s="29">
        <v>1</v>
      </c>
      <c r="I38" s="29">
        <v>1</v>
      </c>
      <c r="J38" s="29">
        <v>1</v>
      </c>
      <c r="K38" s="29">
        <v>1</v>
      </c>
      <c r="L38" s="29">
        <v>1</v>
      </c>
      <c r="M38" s="29">
        <v>1</v>
      </c>
      <c r="N38" s="29">
        <v>1</v>
      </c>
      <c r="O38" s="29">
        <v>1</v>
      </c>
      <c r="P38" s="29">
        <v>0.25</v>
      </c>
      <c r="Q38" s="29">
        <v>0.25</v>
      </c>
      <c r="R38" s="29">
        <v>0.25</v>
      </c>
      <c r="S38" s="29">
        <v>0.25</v>
      </c>
      <c r="T38" s="29">
        <v>0.25</v>
      </c>
    </row>
    <row r="39" spans="2:20" x14ac:dyDescent="0.35">
      <c r="B39" s="17" t="s">
        <v>62</v>
      </c>
      <c r="C39" s="40">
        <f t="shared" si="65"/>
        <v>54900</v>
      </c>
      <c r="D39" s="28" t="s">
        <v>42</v>
      </c>
      <c r="E39" s="29">
        <v>0</v>
      </c>
      <c r="F39" s="29">
        <v>0</v>
      </c>
      <c r="G39" s="29">
        <v>0</v>
      </c>
      <c r="H39" s="29">
        <v>1</v>
      </c>
      <c r="I39" s="29">
        <v>1</v>
      </c>
      <c r="J39" s="29">
        <v>1</v>
      </c>
      <c r="K39" s="29">
        <v>1</v>
      </c>
      <c r="L39" s="29">
        <v>1</v>
      </c>
      <c r="M39" s="29">
        <v>1</v>
      </c>
      <c r="N39" s="29">
        <v>1</v>
      </c>
      <c r="O39" s="29">
        <v>1</v>
      </c>
      <c r="P39" s="29">
        <v>0.25</v>
      </c>
      <c r="Q39" s="29">
        <v>0.25</v>
      </c>
      <c r="R39" s="29">
        <v>0.15</v>
      </c>
      <c r="S39" s="29">
        <v>0.25</v>
      </c>
      <c r="T39" s="29">
        <v>0.25</v>
      </c>
    </row>
    <row r="40" spans="2:20" x14ac:dyDescent="0.35">
      <c r="B40" s="17" t="s">
        <v>62</v>
      </c>
      <c r="C40" s="40">
        <f t="shared" si="65"/>
        <v>21000</v>
      </c>
      <c r="D40" s="28" t="s">
        <v>43</v>
      </c>
      <c r="E40" s="29">
        <v>0</v>
      </c>
      <c r="F40" s="29">
        <v>0</v>
      </c>
      <c r="G40" s="29">
        <v>0</v>
      </c>
      <c r="H40" s="29">
        <v>0.5</v>
      </c>
      <c r="I40" s="29">
        <v>0.5</v>
      </c>
      <c r="J40" s="29">
        <v>0.5</v>
      </c>
      <c r="K40" s="29">
        <v>0.5</v>
      </c>
      <c r="L40" s="29">
        <v>0.5</v>
      </c>
      <c r="M40" s="29">
        <v>0.5</v>
      </c>
      <c r="N40" s="29">
        <v>0.5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</row>
    <row r="41" spans="2:20" x14ac:dyDescent="0.35">
      <c r="B41" s="38" t="s">
        <v>78</v>
      </c>
      <c r="C41" s="40">
        <f t="shared" si="65"/>
        <v>27000</v>
      </c>
      <c r="D41" s="28" t="s">
        <v>79</v>
      </c>
      <c r="E41" s="29">
        <v>0</v>
      </c>
      <c r="F41" s="29">
        <v>0.5</v>
      </c>
      <c r="G41" s="29">
        <v>0.5</v>
      </c>
      <c r="H41" s="29">
        <v>0.5</v>
      </c>
      <c r="I41" s="29">
        <v>0.5</v>
      </c>
      <c r="J41" s="29">
        <v>0.5</v>
      </c>
      <c r="K41" s="29">
        <v>0.5</v>
      </c>
      <c r="L41" s="29">
        <v>0.5</v>
      </c>
      <c r="M41" s="29">
        <v>0.5</v>
      </c>
      <c r="N41" s="29">
        <v>0.5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</row>
    <row r="42" spans="2:20" x14ac:dyDescent="0.35">
      <c r="C42" s="46">
        <f>SUM(C35:C41)</f>
        <v>295800</v>
      </c>
    </row>
  </sheetData>
  <mergeCells count="5">
    <mergeCell ref="E3:G3"/>
    <mergeCell ref="H3:J3"/>
    <mergeCell ref="K3:N3"/>
    <mergeCell ref="O3:Q3"/>
    <mergeCell ref="R3:T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725d96c-75ca-4da5-a76c-e1fd17e2a62a}" enabled="1" method="Privileged" siteId="{c88fe011-1411-4e3a-a2cf-3859b305642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ABS_OCE_Milestone</vt:lpstr>
      <vt:lpstr>Resource Loading</vt:lpstr>
      <vt:lpstr>Kishore (OCE Costs)</vt:lpstr>
      <vt:lpstr>Kishore (ABS Cost)</vt:lpstr>
      <vt:lpstr>Suggested (Combined)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Kishorekumar Rajulu</dc:creator>
  <cp:keywords/>
  <dc:description/>
  <cp:lastModifiedBy>Jayaprakash Loganathan</cp:lastModifiedBy>
  <cp:revision/>
  <dcterms:created xsi:type="dcterms:W3CDTF">2026-03-13T10:53:04Z</dcterms:created>
  <dcterms:modified xsi:type="dcterms:W3CDTF">2026-03-23T08:08:43Z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25d96c-75ca-4da5-a76c-e1fd17e2a62a_Enabled">
    <vt:lpwstr>true</vt:lpwstr>
  </property>
  <property fmtid="{D5CDD505-2E9C-101B-9397-08002B2CF9AE}" pid="3" name="MSIP_Label_b725d96c-75ca-4da5-a76c-e1fd17e2a62a_SetDate">
    <vt:lpwstr>2026-03-13T11:38:20Z</vt:lpwstr>
  </property>
  <property fmtid="{D5CDD505-2E9C-101B-9397-08002B2CF9AE}" pid="4" name="MSIP_Label_b725d96c-75ca-4da5-a76c-e1fd17e2a62a_Method">
    <vt:lpwstr>Standard</vt:lpwstr>
  </property>
  <property fmtid="{D5CDD505-2E9C-101B-9397-08002B2CF9AE}" pid="5" name="MSIP_Label_b725d96c-75ca-4da5-a76c-e1fd17e2a62a_Name">
    <vt:lpwstr>defa4170-0d19-0005-0001-bc88714345d2</vt:lpwstr>
  </property>
  <property fmtid="{D5CDD505-2E9C-101B-9397-08002B2CF9AE}" pid="6" name="MSIP_Label_b725d96c-75ca-4da5-a76c-e1fd17e2a62a_SiteId">
    <vt:lpwstr>c88fe011-1411-4e3a-a2cf-3859b305642c</vt:lpwstr>
  </property>
  <property fmtid="{D5CDD505-2E9C-101B-9397-08002B2CF9AE}" pid="7" name="MSIP_Label_b725d96c-75ca-4da5-a76c-e1fd17e2a62a_ActionId">
    <vt:lpwstr>f7c0efcf-97fd-4a15-aa8c-bb50c342e4e6</vt:lpwstr>
  </property>
  <property fmtid="{D5CDD505-2E9C-101B-9397-08002B2CF9AE}" pid="8" name="MSIP_Label_b725d96c-75ca-4da5-a76c-e1fd17e2a62a_ContentBits">
    <vt:lpwstr>0</vt:lpwstr>
  </property>
</Properties>
</file>